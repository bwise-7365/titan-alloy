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<sst xmlns="http://schemas.openxmlformats.org/spreadsheetml/2006/main" count="8" uniqueCount="8">
  <si>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iteration</t>
  </si>
  <si>
    <t xml:space="preserve">cost</t>
  </si>
  <si>
    <t xml:space="preserve">change</t>
  </si>
  <si>
    <t xml:space="preserve">net change</t>
  </si>
  <si>
    <t xml:space="preserve">ln(cost)</t>
  </si>
  <si>
    <t xml:space="preserve">delta(ln)</t>
  </si>
  <si>
    <t xml:space="preserve">midpoint</t>
  </si>
  <si>
    <t xml:space="preserve">75% decline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</si>
</sst>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69A2E"/>
      <name val="Arial"/>
      <family val="2"/>
    </font>
    <font>
      <b val="true"/>
      <sz val="10"/>
      <color rgb="FF8D1D75"/>
      <name val="Arial"/>
      <family val="2"/>
    </font>
    <font>
      <sz val="10"/>
      <color rgb="FF069A2E"/>
      <name val="Arial"/>
      <family val="2"/>
    </font>
    <font>
      <sz val="10"/>
      <color rgb="FF8D1D75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3B3B3"/>
      <rgbColor rgb="FF808080"/>
      <rgbColor rgb="FF9999F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0667541721358"/>
          <c:y val="0.0784531614623847"/>
          <c:w val="0.819238702418901"/>
          <c:h val="0.830981220135571"/>
        </c:manualLayout>
      </c:layout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Sheet2!$C$2:$C$114</c:f>
              <c:numCache>
                <c:formatCode>0.00</c:formatCode>
                <c:ptCount val="113"/>
                <c:pt idx="0">
                  <c:v>4894079835.61</c:v>
                </c:pt>
                <c:pt idx="1">
                  <c:v>4861717493.3448</c:v>
                </c:pt>
                <c:pt idx="2">
                  <c:v>4855227833.8187</c:v>
                </c:pt>
                <c:pt idx="3">
                  <c:v>4850061239.9035</c:v>
                </c:pt>
                <c:pt idx="4">
                  <c:v>4843899754.0143</c:v>
                </c:pt>
                <c:pt idx="5">
                  <c:v>4839073948.6459</c:v>
                </c:pt>
                <c:pt idx="6">
                  <c:v>4834121483.6797</c:v>
                </c:pt>
                <c:pt idx="7">
                  <c:v>4827554111.3673</c:v>
                </c:pt>
                <c:pt idx="8">
                  <c:v>4822147015.5916</c:v>
                </c:pt>
                <c:pt idx="9">
                  <c:v>4818353467.2446</c:v>
                </c:pt>
                <c:pt idx="10">
                  <c:v>4801977685.3917</c:v>
                </c:pt>
                <c:pt idx="11">
                  <c:v>4799890140.3966</c:v>
                </c:pt>
                <c:pt idx="12">
                  <c:v>4798293922.4113</c:v>
                </c:pt>
                <c:pt idx="13">
                  <c:v>4791868255.2135</c:v>
                </c:pt>
                <c:pt idx="14">
                  <c:v>4787608027.886</c:v>
                </c:pt>
                <c:pt idx="15">
                  <c:v>4786537693.8128</c:v>
                </c:pt>
                <c:pt idx="16">
                  <c:v>4783334217.5869</c:v>
                </c:pt>
                <c:pt idx="17">
                  <c:v>4782488045.5382</c:v>
                </c:pt>
                <c:pt idx="18">
                  <c:v>4781690181.6624</c:v>
                </c:pt>
                <c:pt idx="19">
                  <c:v>4780810999.4858</c:v>
                </c:pt>
                <c:pt idx="20">
                  <c:v>4780183911.1032</c:v>
                </c:pt>
                <c:pt idx="21">
                  <c:v>4779199112.9506</c:v>
                </c:pt>
                <c:pt idx="22">
                  <c:v>4778259507.7682</c:v>
                </c:pt>
                <c:pt idx="23">
                  <c:v>4777763419.3172</c:v>
                </c:pt>
                <c:pt idx="24">
                  <c:v>4777180218.3804</c:v>
                </c:pt>
                <c:pt idx="25">
                  <c:v>4773227078.4987</c:v>
                </c:pt>
                <c:pt idx="26">
                  <c:v>4772167075.8225</c:v>
                </c:pt>
                <c:pt idx="27">
                  <c:v>4771789134.4126</c:v>
                </c:pt>
                <c:pt idx="28">
                  <c:v>4771320378.7404</c:v>
                </c:pt>
                <c:pt idx="29">
                  <c:v>4770458214.1745</c:v>
                </c:pt>
                <c:pt idx="30">
                  <c:v>4770007584.9031</c:v>
                </c:pt>
                <c:pt idx="31">
                  <c:v>4769377170.782</c:v>
                </c:pt>
                <c:pt idx="32">
                  <c:v>4768606938.2346</c:v>
                </c:pt>
                <c:pt idx="33">
                  <c:v>4768086923.5085</c:v>
                </c:pt>
                <c:pt idx="34">
                  <c:v>4766316634.8784</c:v>
                </c:pt>
                <c:pt idx="35">
                  <c:v>4766057621.8046</c:v>
                </c:pt>
                <c:pt idx="36">
                  <c:v>4759410137.9766</c:v>
                </c:pt>
                <c:pt idx="37">
                  <c:v>4756907711.5867</c:v>
                </c:pt>
                <c:pt idx="38">
                  <c:v>4755582713.2077</c:v>
                </c:pt>
                <c:pt idx="39">
                  <c:v>4754572584.6391</c:v>
                </c:pt>
                <c:pt idx="40">
                  <c:v>4752595662.3261</c:v>
                </c:pt>
                <c:pt idx="41">
                  <c:v>4750402751.4312</c:v>
                </c:pt>
                <c:pt idx="42">
                  <c:v>4748012286.9939</c:v>
                </c:pt>
                <c:pt idx="43">
                  <c:v>4745819376.099</c:v>
                </c:pt>
                <c:pt idx="44">
                  <c:v>4744164825.255</c:v>
                </c:pt>
                <c:pt idx="45">
                  <c:v>4741806128.4716</c:v>
                </c:pt>
                <c:pt idx="46">
                  <c:v>4739488256.7515</c:v>
                </c:pt>
                <c:pt idx="47">
                  <c:v>4738733549.1884</c:v>
                </c:pt>
                <c:pt idx="48">
                  <c:v>4736943796.3242</c:v>
                </c:pt>
                <c:pt idx="49">
                  <c:v>4735811895.7331</c:v>
                </c:pt>
                <c:pt idx="50">
                  <c:v>4734819813.5262</c:v>
                </c:pt>
                <c:pt idx="51">
                  <c:v>4733701656.1763</c:v>
                </c:pt>
                <c:pt idx="52">
                  <c:v>4732709573.9694</c:v>
                </c:pt>
                <c:pt idx="53">
                  <c:v>4731591416.6195</c:v>
                </c:pt>
                <c:pt idx="54">
                  <c:v>4730599334.4126</c:v>
                </c:pt>
                <c:pt idx="55">
                  <c:v>4729867611.44</c:v>
                </c:pt>
                <c:pt idx="56">
                  <c:v>4728753675.8794</c:v>
                </c:pt>
                <c:pt idx="57">
                  <c:v>4728208310.3744</c:v>
                </c:pt>
                <c:pt idx="58">
                  <c:v>4726663781.7619</c:v>
                </c:pt>
                <c:pt idx="59">
                  <c:v>4726018414.9962</c:v>
                </c:pt>
                <c:pt idx="60">
                  <c:v>4725538062.7337</c:v>
                </c:pt>
                <c:pt idx="61">
                  <c:v>4725057710.4712</c:v>
                </c:pt>
                <c:pt idx="62">
                  <c:v>4724577358.2087</c:v>
                </c:pt>
                <c:pt idx="63">
                  <c:v>4724097005.9462</c:v>
                </c:pt>
                <c:pt idx="64">
                  <c:v>4723616653.6837</c:v>
                </c:pt>
                <c:pt idx="65">
                  <c:v>4723136301.4212</c:v>
                </c:pt>
                <c:pt idx="66">
                  <c:v>4722783727.9856</c:v>
                </c:pt>
                <c:pt idx="67">
                  <c:v>4722184755.0817</c:v>
                </c:pt>
                <c:pt idx="68">
                  <c:v>4721804081.8574</c:v>
                </c:pt>
                <c:pt idx="69">
                  <c:v>4721614133.1544</c:v>
                </c:pt>
                <c:pt idx="70">
                  <c:v>4718901450.6278</c:v>
                </c:pt>
                <c:pt idx="71">
                  <c:v>4718458384.4651</c:v>
                </c:pt>
                <c:pt idx="72">
                  <c:v>4718065275.1621</c:v>
                </c:pt>
                <c:pt idx="73">
                  <c:v>4717815437.1729</c:v>
                </c:pt>
                <c:pt idx="74">
                  <c:v>4717085284.5742</c:v>
                </c:pt>
                <c:pt idx="75">
                  <c:v>4716943625.7038</c:v>
                </c:pt>
                <c:pt idx="76">
                  <c:v>4715314873.6754</c:v>
                </c:pt>
                <c:pt idx="77">
                  <c:v>4714000092.122</c:v>
                </c:pt>
                <c:pt idx="78">
                  <c:v>4713973463.4443</c:v>
                </c:pt>
                <c:pt idx="79">
                  <c:v>4713946834.7666</c:v>
                </c:pt>
                <c:pt idx="80">
                  <c:v>4713019749.9664</c:v>
                </c:pt>
                <c:pt idx="81">
                  <c:v>4711498236.5277</c:v>
                </c:pt>
                <c:pt idx="82">
                  <c:v>4710524090.5116</c:v>
                </c:pt>
                <c:pt idx="83">
                  <c:v>4707375983.0197</c:v>
                </c:pt>
                <c:pt idx="84">
                  <c:v>4706462052.3315</c:v>
                </c:pt>
                <c:pt idx="85">
                  <c:v>4705974924.5495</c:v>
                </c:pt>
                <c:pt idx="86">
                  <c:v>4705382114.1064</c:v>
                </c:pt>
                <c:pt idx="87">
                  <c:v>4705097837.8589</c:v>
                </c:pt>
                <c:pt idx="88">
                  <c:v>4704931107.8974</c:v>
                </c:pt>
                <c:pt idx="89">
                  <c:v>4704864617.473</c:v>
                </c:pt>
                <c:pt idx="90">
                  <c:v>4704809527.3783</c:v>
                </c:pt>
                <c:pt idx="91">
                  <c:v>4704481829.5501</c:v>
                </c:pt>
                <c:pt idx="92">
                  <c:v>4704473851.6675</c:v>
                </c:pt>
                <c:pt idx="93">
                  <c:v>4704410920.8651</c:v>
                </c:pt>
                <c:pt idx="94">
                  <c:v>4704400525.1402</c:v>
                </c:pt>
                <c:pt idx="95">
                  <c:v>4704396195.1343</c:v>
                </c:pt>
                <c:pt idx="96">
                  <c:v>4704390920.9346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675379"/>
        <c:axId val="749152"/>
      </c:lineChart>
      <c:catAx>
        <c:axId val="106753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9152"/>
        <c:crosses val="autoZero"/>
        <c:auto val="1"/>
        <c:lblAlgn val="ctr"/>
        <c:lblOffset val="100"/>
        <c:noMultiLvlLbl val="0"/>
      </c:catAx>
      <c:valAx>
        <c:axId val="7491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67537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net change</c:v>
                </c:pt>
              </c:strCache>
            </c:strRef>
          </c:tx>
          <c:spPr>
            <a:solidFill>
              <a:srgbClr val="FF4000"/>
            </a:solidFill>
            <a:ln w="28800">
              <a:solidFill>
                <a:srgbClr val="FF4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Sheet2!$E$2:$E$114</c:f>
              <c:numCache>
                <c:formatCode>0.00</c:formatCode>
                <c:ptCount val="113"/>
                <c:pt idx="0">
                  <c:v>-32362342.2652</c:v>
                </c:pt>
                <c:pt idx="1">
                  <c:v>-64724684.5304</c:v>
                </c:pt>
                <c:pt idx="2">
                  <c:v>-71214344.0565</c:v>
                </c:pt>
                <c:pt idx="3">
                  <c:v>-76380937.9717</c:v>
                </c:pt>
                <c:pt idx="4">
                  <c:v>-82542423.8609</c:v>
                </c:pt>
                <c:pt idx="5">
                  <c:v>-87368229.2293</c:v>
                </c:pt>
                <c:pt idx="6">
                  <c:v>-92320694.1955</c:v>
                </c:pt>
                <c:pt idx="7">
                  <c:v>-98888066.5079</c:v>
                </c:pt>
                <c:pt idx="8">
                  <c:v>-104295162.2836</c:v>
                </c:pt>
                <c:pt idx="9">
                  <c:v>-108088710.6306</c:v>
                </c:pt>
                <c:pt idx="10">
                  <c:v>-124464492.4835</c:v>
                </c:pt>
                <c:pt idx="11">
                  <c:v>-126552037.4786</c:v>
                </c:pt>
                <c:pt idx="12">
                  <c:v>-128148255.4639</c:v>
                </c:pt>
                <c:pt idx="13">
                  <c:v>-134573922.6617</c:v>
                </c:pt>
                <c:pt idx="14">
                  <c:v>-138834149.9892</c:v>
                </c:pt>
                <c:pt idx="15">
                  <c:v>-139904484.0624</c:v>
                </c:pt>
                <c:pt idx="16">
                  <c:v>-143107960.2883</c:v>
                </c:pt>
                <c:pt idx="17">
                  <c:v>-143954132.337</c:v>
                </c:pt>
                <c:pt idx="18">
                  <c:v>-144751996.2128</c:v>
                </c:pt>
                <c:pt idx="19">
                  <c:v>-145631178.3894</c:v>
                </c:pt>
                <c:pt idx="20">
                  <c:v>-146258266.772</c:v>
                </c:pt>
                <c:pt idx="21">
                  <c:v>-147243064.9246</c:v>
                </c:pt>
                <c:pt idx="22">
                  <c:v>-148182670.107</c:v>
                </c:pt>
                <c:pt idx="23">
                  <c:v>-148678758.558</c:v>
                </c:pt>
                <c:pt idx="24">
                  <c:v>-149261959.4948</c:v>
                </c:pt>
                <c:pt idx="25">
                  <c:v>-153215099.3765</c:v>
                </c:pt>
                <c:pt idx="26">
                  <c:v>-154275102.0527</c:v>
                </c:pt>
                <c:pt idx="27">
                  <c:v>-154653043.4626</c:v>
                </c:pt>
                <c:pt idx="28">
                  <c:v>-155121799.1348</c:v>
                </c:pt>
                <c:pt idx="29">
                  <c:v>-155983963.7007</c:v>
                </c:pt>
                <c:pt idx="30">
                  <c:v>-156434592.9721</c:v>
                </c:pt>
                <c:pt idx="31">
                  <c:v>-157065007.0932</c:v>
                </c:pt>
                <c:pt idx="32">
                  <c:v>-157835239.6406</c:v>
                </c:pt>
                <c:pt idx="33">
                  <c:v>-158355254.3667</c:v>
                </c:pt>
                <c:pt idx="34">
                  <c:v>-160125542.9968</c:v>
                </c:pt>
                <c:pt idx="35">
                  <c:v>-160384556.0706</c:v>
                </c:pt>
                <c:pt idx="36">
                  <c:v>-167032039.8986</c:v>
                </c:pt>
                <c:pt idx="37">
                  <c:v>-169534466.2885</c:v>
                </c:pt>
                <c:pt idx="38">
                  <c:v>-170859464.6675</c:v>
                </c:pt>
                <c:pt idx="39">
                  <c:v>-171869593.2361</c:v>
                </c:pt>
                <c:pt idx="40">
                  <c:v>-173846515.5491</c:v>
                </c:pt>
                <c:pt idx="41">
                  <c:v>-176039426.444</c:v>
                </c:pt>
                <c:pt idx="42">
                  <c:v>-178429890.8813</c:v>
                </c:pt>
                <c:pt idx="43">
                  <c:v>-180622801.7762</c:v>
                </c:pt>
                <c:pt idx="44">
                  <c:v>-182277352.6202</c:v>
                </c:pt>
                <c:pt idx="45">
                  <c:v>-184636049.4036</c:v>
                </c:pt>
                <c:pt idx="46">
                  <c:v>-186953921.1237</c:v>
                </c:pt>
                <c:pt idx="47">
                  <c:v>-187708628.6868</c:v>
                </c:pt>
                <c:pt idx="48">
                  <c:v>-189498381.551</c:v>
                </c:pt>
                <c:pt idx="49">
                  <c:v>-190630282.1421</c:v>
                </c:pt>
                <c:pt idx="50">
                  <c:v>-191622364.349</c:v>
                </c:pt>
                <c:pt idx="51">
                  <c:v>-192740521.6989</c:v>
                </c:pt>
                <c:pt idx="52">
                  <c:v>-193732603.9058</c:v>
                </c:pt>
                <c:pt idx="53">
                  <c:v>-194850761.2557</c:v>
                </c:pt>
                <c:pt idx="54">
                  <c:v>-195842843.4626</c:v>
                </c:pt>
                <c:pt idx="55">
                  <c:v>-196574566.4352</c:v>
                </c:pt>
                <c:pt idx="56">
                  <c:v>-197688501.9958</c:v>
                </c:pt>
                <c:pt idx="57">
                  <c:v>-198233867.5008</c:v>
                </c:pt>
                <c:pt idx="58">
                  <c:v>-199778396.1133</c:v>
                </c:pt>
                <c:pt idx="59">
                  <c:v>-200423762.879</c:v>
                </c:pt>
                <c:pt idx="60">
                  <c:v>-200904115.1415</c:v>
                </c:pt>
                <c:pt idx="61">
                  <c:v>-201384467.404</c:v>
                </c:pt>
                <c:pt idx="62">
                  <c:v>-201864819.6665</c:v>
                </c:pt>
                <c:pt idx="63">
                  <c:v>-202345171.929</c:v>
                </c:pt>
                <c:pt idx="64">
                  <c:v>-202825524.1915</c:v>
                </c:pt>
                <c:pt idx="65">
                  <c:v>-203305876.454</c:v>
                </c:pt>
                <c:pt idx="66">
                  <c:v>-203658449.8896</c:v>
                </c:pt>
                <c:pt idx="67">
                  <c:v>-204257422.7935</c:v>
                </c:pt>
                <c:pt idx="68">
                  <c:v>-204638096.0178</c:v>
                </c:pt>
                <c:pt idx="69">
                  <c:v>-204828044.7208</c:v>
                </c:pt>
                <c:pt idx="70">
                  <c:v>-207540727.2474</c:v>
                </c:pt>
                <c:pt idx="71">
                  <c:v>-207983793.4101</c:v>
                </c:pt>
                <c:pt idx="72">
                  <c:v>-208376902.7131</c:v>
                </c:pt>
                <c:pt idx="73">
                  <c:v>-208626740.7023</c:v>
                </c:pt>
                <c:pt idx="74">
                  <c:v>-209356893.301</c:v>
                </c:pt>
                <c:pt idx="75">
                  <c:v>-209498552.1714</c:v>
                </c:pt>
                <c:pt idx="76">
                  <c:v>-211127304.1998</c:v>
                </c:pt>
                <c:pt idx="77">
                  <c:v>-212442085.7532</c:v>
                </c:pt>
                <c:pt idx="78">
                  <c:v>-212468714.4309</c:v>
                </c:pt>
                <c:pt idx="79">
                  <c:v>-212495343.1086</c:v>
                </c:pt>
                <c:pt idx="80">
                  <c:v>-213422427.9088</c:v>
                </c:pt>
                <c:pt idx="81">
                  <c:v>-214943941.3475</c:v>
                </c:pt>
                <c:pt idx="82">
                  <c:v>-215918087.3636</c:v>
                </c:pt>
                <c:pt idx="83">
                  <c:v>-219066194.8555</c:v>
                </c:pt>
                <c:pt idx="84">
                  <c:v>-219980125.5437</c:v>
                </c:pt>
                <c:pt idx="85">
                  <c:v>-220467253.3257</c:v>
                </c:pt>
                <c:pt idx="86">
                  <c:v>-221060063.7688</c:v>
                </c:pt>
                <c:pt idx="87">
                  <c:v>-221344340.0163</c:v>
                </c:pt>
                <c:pt idx="88">
                  <c:v>-221511069.9778</c:v>
                </c:pt>
                <c:pt idx="89">
                  <c:v>-221577560.4022</c:v>
                </c:pt>
                <c:pt idx="90">
                  <c:v>-221632650.4969</c:v>
                </c:pt>
                <c:pt idx="91">
                  <c:v>-221960348.3251</c:v>
                </c:pt>
                <c:pt idx="92">
                  <c:v>-221968326.2077</c:v>
                </c:pt>
                <c:pt idx="93">
                  <c:v>-222031257.0101</c:v>
                </c:pt>
                <c:pt idx="94">
                  <c:v>-222041652.735</c:v>
                </c:pt>
                <c:pt idx="95">
                  <c:v>-222045982.7409</c:v>
                </c:pt>
                <c:pt idx="96">
                  <c:v>-222051256.9406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747378"/>
        <c:axId val="69355005"/>
      </c:lineChart>
      <c:catAx>
        <c:axId val="207473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355005"/>
        <c:crosses val="autoZero"/>
        <c:auto val="1"/>
        <c:lblAlgn val="ctr"/>
        <c:lblOffset val="100"/>
        <c:noMultiLvlLbl val="0"/>
      </c:catAx>
      <c:valAx>
        <c:axId val="693550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74737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ln(cost)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A933"/>
                </a:solidFill>
                <a:prstDash val="lgDash"/>
              </a:ln>
            </c:spPr>
            <c:trendlineType val="linear"/>
            <c:forward val="0"/>
            <c:backward val="0"/>
            <c:dispRSqr val="1"/>
            <c:dispEq val="1"/>
          </c:trendline>
          <c:val>
            <c:numRef>
              <c:f>Sheet2!$O$2:$O$97</c:f>
              <c:numCache>
                <c:formatCode>General</c:formatCode>
                <c:ptCount val="96"/>
                <c:pt idx="0">
                  <c:v>22.3112921147905</c:v>
                </c:pt>
                <c:pt idx="1">
                  <c:v>22.3046576061223</c:v>
                </c:pt>
                <c:pt idx="2">
                  <c:v>22.3033218652547</c:v>
                </c:pt>
                <c:pt idx="3">
                  <c:v>22.3022571686003</c:v>
                </c:pt>
                <c:pt idx="4">
                  <c:v>22.3009859675458</c:v>
                </c:pt>
                <c:pt idx="5">
                  <c:v>22.2999892064441</c:v>
                </c:pt>
                <c:pt idx="6">
                  <c:v>22.29896525</c:v>
                </c:pt>
                <c:pt idx="7">
                  <c:v>22.2976057811875</c:v>
                </c:pt>
                <c:pt idx="8">
                  <c:v>22.2964851047499</c:v>
                </c:pt>
                <c:pt idx="9">
                  <c:v>22.2956981023428</c:v>
                </c:pt>
                <c:pt idx="10">
                  <c:v>22.2922936877942</c:v>
                </c:pt>
                <c:pt idx="11">
                  <c:v>22.291858867181</c:v>
                </c:pt>
                <c:pt idx="12">
                  <c:v>22.2915262588481</c:v>
                </c:pt>
                <c:pt idx="13">
                  <c:v>22.29018620473</c:v>
                </c:pt>
                <c:pt idx="14">
                  <c:v>22.2892967557701</c:v>
                </c:pt>
                <c:pt idx="15">
                  <c:v>22.2890731673459</c:v>
                </c:pt>
                <c:pt idx="16">
                  <c:v>22.2884036753453</c:v>
                </c:pt>
                <c:pt idx="17">
                  <c:v>22.2882267596495</c:v>
                </c:pt>
                <c:pt idx="18">
                  <c:v>22.28805991544</c:v>
                </c:pt>
                <c:pt idx="19">
                  <c:v>22.2878760342227</c:v>
                </c:pt>
                <c:pt idx="20">
                  <c:v>22.2877448578358</c:v>
                </c:pt>
                <c:pt idx="21">
                  <c:v>22.2875388198199</c:v>
                </c:pt>
                <c:pt idx="22">
                  <c:v>22.2873421974283</c:v>
                </c:pt>
                <c:pt idx="23">
                  <c:v>22.28723837004</c:v>
                </c:pt>
                <c:pt idx="24">
                  <c:v>22.2871162969102</c:v>
                </c:pt>
                <c:pt idx="25">
                  <c:v>22.286288449472</c:v>
                </c:pt>
                <c:pt idx="26">
                  <c:v>22.2860663522671</c:v>
                </c:pt>
                <c:pt idx="27">
                  <c:v>22.2859871521112</c:v>
                </c:pt>
                <c:pt idx="28">
                  <c:v>22.2858889125024</c:v>
                </c:pt>
                <c:pt idx="29">
                  <c:v>22.2857081989048</c:v>
                </c:pt>
                <c:pt idx="30">
                  <c:v>22.2856137319718</c:v>
                </c:pt>
                <c:pt idx="31">
                  <c:v>22.2854815611583</c:v>
                </c:pt>
                <c:pt idx="32">
                  <c:v>22.2853200527011</c:v>
                </c:pt>
                <c:pt idx="33">
                  <c:v>22.2852109971449</c:v>
                </c:pt>
                <c:pt idx="34">
                  <c:v>22.2848396496055</c:v>
                </c:pt>
                <c:pt idx="35">
                  <c:v>22.2847853057313</c:v>
                </c:pt>
                <c:pt idx="36">
                  <c:v>22.2833895769178</c:v>
                </c:pt>
                <c:pt idx="37">
                  <c:v>22.282863653659</c:v>
                </c:pt>
                <c:pt idx="38">
                  <c:v>22.2825850729029</c:v>
                </c:pt>
                <c:pt idx="39">
                  <c:v>22.2823726413409</c:v>
                </c:pt>
                <c:pt idx="40">
                  <c:v>22.2819567609672</c:v>
                </c:pt>
                <c:pt idx="41">
                  <c:v>22.2814952411735</c:v>
                </c:pt>
                <c:pt idx="42">
                  <c:v>22.2809919015157</c:v>
                </c:pt>
                <c:pt idx="43">
                  <c:v>22.2805299361024</c:v>
                </c:pt>
                <c:pt idx="44">
                  <c:v>22.280181241979</c:v>
                </c:pt>
                <c:pt idx="45">
                  <c:v>22.2796839398381</c:v>
                </c:pt>
                <c:pt idx="46">
                  <c:v>22.2791950041144</c:v>
                </c:pt>
                <c:pt idx="47">
                  <c:v>22.2790357532379</c:v>
                </c:pt>
                <c:pt idx="48">
                  <c:v>22.2786579959927</c:v>
                </c:pt>
                <c:pt idx="49">
                  <c:v>22.2784190157776</c:v>
                </c:pt>
                <c:pt idx="50">
                  <c:v>22.2782095086948</c:v>
                </c:pt>
                <c:pt idx="51">
                  <c:v>22.2779733245432</c:v>
                </c:pt>
                <c:pt idx="52">
                  <c:v>22.2777637240544</c:v>
                </c:pt>
                <c:pt idx="53">
                  <c:v>22.2775274345797</c:v>
                </c:pt>
                <c:pt idx="54">
                  <c:v>22.2773177406015</c:v>
                </c:pt>
                <c:pt idx="55">
                  <c:v>22.2771630499338</c:v>
                </c:pt>
                <c:pt idx="56">
                  <c:v>22.2769275112582</c:v>
                </c:pt>
                <c:pt idx="57">
                  <c:v>22.2768121749575</c:v>
                </c:pt>
                <c:pt idx="58">
                  <c:v>22.2764854590355</c:v>
                </c:pt>
                <c:pt idx="59">
                  <c:v>22.2763489122326</c:v>
                </c:pt>
                <c:pt idx="60">
                  <c:v>22.2762472671196</c:v>
                </c:pt>
                <c:pt idx="61">
                  <c:v>22.2761456116739</c:v>
                </c:pt>
                <c:pt idx="62">
                  <c:v>22.2760439458933</c:v>
                </c:pt>
                <c:pt idx="63">
                  <c:v>22.2759422697756</c:v>
                </c:pt>
                <c:pt idx="64">
                  <c:v>22.275840583319</c:v>
                </c:pt>
                <c:pt idx="65">
                  <c:v>22.2757388865211</c:v>
                </c:pt>
                <c:pt idx="66">
                  <c:v>22.2756642355745</c:v>
                </c:pt>
                <c:pt idx="67">
                  <c:v>22.2755374012911</c:v>
                </c:pt>
                <c:pt idx="68">
                  <c:v>22.2754567842486</c:v>
                </c:pt>
                <c:pt idx="69">
                  <c:v>22.2754165554462</c:v>
                </c:pt>
                <c:pt idx="70">
                  <c:v>22.2748418659438</c:v>
                </c:pt>
                <c:pt idx="71">
                  <c:v>22.2747479697333</c:v>
                </c:pt>
                <c:pt idx="72">
                  <c:v>22.2746646531821</c:v>
                </c:pt>
                <c:pt idx="73">
                  <c:v>22.2746116982971</c:v>
                </c:pt>
                <c:pt idx="74">
                  <c:v>22.2744569213425</c:v>
                </c:pt>
                <c:pt idx="75">
                  <c:v>22.2744268898741</c:v>
                </c:pt>
                <c:pt idx="76">
                  <c:v>22.2740815320694</c:v>
                </c:pt>
                <c:pt idx="77">
                  <c:v>22.2738026610026</c:v>
                </c:pt>
                <c:pt idx="78">
                  <c:v>22.273797012137</c:v>
                </c:pt>
                <c:pt idx="79">
                  <c:v>22.2737913632395</c:v>
                </c:pt>
                <c:pt idx="80">
                  <c:v>22.2735946754089</c:v>
                </c:pt>
                <c:pt idx="81">
                  <c:v>22.27327179132</c:v>
                </c:pt>
                <c:pt idx="82">
                  <c:v>22.2730650106553</c:v>
                </c:pt>
                <c:pt idx="83">
                  <c:v>22.2723964735962</c:v>
                </c:pt>
                <c:pt idx="84">
                  <c:v>22.2722023060977</c:v>
                </c:pt>
                <c:pt idx="85">
                  <c:v>22.2720987988374</c:v>
                </c:pt>
                <c:pt idx="86">
                  <c:v>22.2719728211614</c:v>
                </c:pt>
                <c:pt idx="87">
                  <c:v>22.2719124042115</c:v>
                </c:pt>
                <c:pt idx="88">
                  <c:v>22.2718769675593</c:v>
                </c:pt>
                <c:pt idx="89">
                  <c:v>22.2718628353876</c:v>
                </c:pt>
                <c:pt idx="90">
                  <c:v>22.2718511261416</c:v>
                </c:pt>
                <c:pt idx="91">
                  <c:v>22.2717814720485</c:v>
                </c:pt>
                <c:pt idx="92">
                  <c:v>22.2717797762423</c:v>
                </c:pt>
                <c:pt idx="93">
                  <c:v>22.2717663993535</c:v>
                </c:pt>
                <c:pt idx="94">
                  <c:v>22.2717641895686</c:v>
                </c:pt>
                <c:pt idx="95">
                  <c:v>22.2717632691521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415180"/>
        <c:axId val="35679988"/>
      </c:lineChart>
      <c:catAx>
        <c:axId val="114151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679988"/>
        <c:crosses val="autoZero"/>
        <c:auto val="1"/>
        <c:lblAlgn val="ctr"/>
        <c:lblOffset val="100"/>
        <c:noMultiLvlLbl val="0"/>
      </c:catAx>
      <c:valAx>
        <c:axId val="35679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141518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49320</xdr:colOff>
      <xdr:row>23</xdr:row>
      <xdr:rowOff>81360</xdr:rowOff>
    </xdr:from>
    <xdr:to>
      <xdr:col>13</xdr:col>
      <xdr:colOff>189720</xdr:colOff>
      <xdr:row>43</xdr:row>
      <xdr:rowOff>69840</xdr:rowOff>
    </xdr:to>
    <xdr:graphicFrame>
      <xdr:nvGraphicFramePr>
        <xdr:cNvPr id="1" name=""/>
        <xdr:cNvGraphicFramePr/>
      </xdr:nvGraphicFramePr>
      <xdr:xfrm>
        <a:off x="6215040" y="3820320"/>
        <a:ext cx="66430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130680</xdr:colOff>
      <xdr:row>1</xdr:row>
      <xdr:rowOff>94680</xdr:rowOff>
    </xdr:from>
    <xdr:to>
      <xdr:col>13</xdr:col>
      <xdr:colOff>317880</xdr:colOff>
      <xdr:row>21</xdr:row>
      <xdr:rowOff>83160</xdr:rowOff>
    </xdr:to>
    <xdr:graphicFrame>
      <xdr:nvGraphicFramePr>
        <xdr:cNvPr id="2" name=""/>
        <xdr:cNvGraphicFramePr/>
      </xdr:nvGraphicFramePr>
      <xdr:xfrm>
        <a:off x="6296400" y="257400"/>
        <a:ext cx="66898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552600</xdr:colOff>
      <xdr:row>0</xdr:row>
      <xdr:rowOff>146520</xdr:rowOff>
    </xdr:from>
    <xdr:to>
      <xdr:col>23</xdr:col>
      <xdr:colOff>622800</xdr:colOff>
      <xdr:row>20</xdr:row>
      <xdr:rowOff>135000</xdr:rowOff>
    </xdr:to>
    <xdr:graphicFrame>
      <xdr:nvGraphicFramePr>
        <xdr:cNvPr id="3" name=""/>
        <xdr:cNvGraphicFramePr/>
      </xdr:nvGraphicFramePr>
      <xdr:xfrm>
        <a:off x="15659280" y="14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selection pane="topLeft" activeCell="R29" activeCellId="0" sqref="R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3.03"/>
    <col collapsed="false" customWidth="true" hidden="false" outlineLevel="0" max="4" min="4" style="0" width="18.07"/>
    <col collapsed="false" customWidth="true" hidden="false" outlineLevel="0" max="5" min="5" style="0" width="23.31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O1" s="0" t="s">
        <v>4</v>
      </c>
      <c r="P1" s="0" t="s">
        <v>5</v>
      </c>
    </row>
    <row r="2" customFormat="false" ht="12.8" hidden="false" customHeight="false" outlineLevel="0" collapsed="false">
      <c r="B2" s="0" t="n">
        <v>0</v>
      </c>
      <c r="C2" s="2" t="n">
        <v>4894079835.61</v>
      </c>
      <c r="D2" s="2" t="n">
        <v>-32362342.2652</v>
      </c>
      <c r="E2" s="2" t="n">
        <f aca="false">D2</f>
        <v>-32362342.2652</v>
      </c>
      <c r="O2" s="0" t="n">
        <f aca="false">LN(C2)</f>
        <v>22.3112921147905</v>
      </c>
    </row>
    <row r="3" customFormat="false" ht="12.8" hidden="false" customHeight="false" outlineLevel="0" collapsed="false">
      <c r="A3" s="0" t="s">
        <v>6</v>
      </c>
      <c r="B3" s="0" t="n">
        <f aca="false">1+B2</f>
        <v>1</v>
      </c>
      <c r="C3" s="2" t="n">
        <f aca="false">C2+D2</f>
        <v>4861717493.3448</v>
      </c>
      <c r="D3" s="2" t="n">
        <v>-6489659.5261</v>
      </c>
      <c r="E3" s="2" t="n">
        <f aca="false">D2+E2</f>
        <v>-64724684.5304</v>
      </c>
      <c r="O3" s="0" t="n">
        <f aca="false">LN(C3)</f>
        <v>22.3046576061223</v>
      </c>
      <c r="P3" s="0" t="n">
        <f aca="false">O3-O2</f>
        <v>-0.0066345086682027</v>
      </c>
    </row>
    <row r="4" customFormat="false" ht="12.8" hidden="false" customHeight="false" outlineLevel="0" collapsed="false">
      <c r="A4" s="3" t="n">
        <f aca="false">(C2+C98)/2</f>
        <v>4799235378.2723</v>
      </c>
      <c r="B4" s="0" t="n">
        <f aca="false">1+B3</f>
        <v>2</v>
      </c>
      <c r="C4" s="2" t="n">
        <f aca="false">C3+D3</f>
        <v>4855227833.8187</v>
      </c>
      <c r="D4" s="2" t="n">
        <v>-5166593.9152</v>
      </c>
      <c r="E4" s="2" t="n">
        <f aca="false">D3+E3</f>
        <v>-71214344.0565</v>
      </c>
      <c r="O4" s="0" t="n">
        <f aca="false">LN(C4)</f>
        <v>22.3033218652547</v>
      </c>
      <c r="P4" s="0" t="n">
        <f aca="false">O4-O3</f>
        <v>-0.00133574086762778</v>
      </c>
    </row>
    <row r="5" customFormat="false" ht="12.8" hidden="false" customHeight="false" outlineLevel="0" collapsed="false">
      <c r="B5" s="0" t="n">
        <f aca="false">1+B4</f>
        <v>3</v>
      </c>
      <c r="C5" s="2" t="n">
        <f aca="false">C4+D4</f>
        <v>4850061239.9035</v>
      </c>
      <c r="D5" s="2" t="n">
        <v>-6161485.8892</v>
      </c>
      <c r="E5" s="2" t="n">
        <f aca="false">D4+E4</f>
        <v>-76380937.9717</v>
      </c>
      <c r="O5" s="0" t="n">
        <f aca="false">LN(C5)</f>
        <v>22.3022571686003</v>
      </c>
      <c r="P5" s="0" t="n">
        <f aca="false">O5-O4</f>
        <v>-0.00106469665437459</v>
      </c>
    </row>
    <row r="6" customFormat="false" ht="12.8" hidden="false" customHeight="false" outlineLevel="0" collapsed="false">
      <c r="A6" s="0" t="s">
        <v>7</v>
      </c>
      <c r="B6" s="0" t="n">
        <f aca="false">1+B5</f>
        <v>4</v>
      </c>
      <c r="C6" s="2" t="n">
        <f aca="false">C5+D5</f>
        <v>4843899754.0143</v>
      </c>
      <c r="D6" s="2" t="n">
        <v>-4825805.3684</v>
      </c>
      <c r="E6" s="2" t="n">
        <f aca="false">D5+E5</f>
        <v>-82542423.8609</v>
      </c>
      <c r="O6" s="0" t="n">
        <f aca="false">LN(C6)</f>
        <v>22.3009859675458</v>
      </c>
      <c r="P6" s="0" t="n">
        <f aca="false">O6-O5</f>
        <v>-0.00127120105451084</v>
      </c>
    </row>
    <row r="7" customFormat="false" ht="12.8" hidden="false" customHeight="false" outlineLevel="0" collapsed="false">
      <c r="A7" s="4" t="n">
        <f aca="false">(3*C98+C2)/4</f>
        <v>4751813149.60345</v>
      </c>
      <c r="B7" s="0" t="n">
        <f aca="false">1+B6</f>
        <v>5</v>
      </c>
      <c r="C7" s="2" t="n">
        <f aca="false">C6+D6</f>
        <v>4839073948.6459</v>
      </c>
      <c r="D7" s="2" t="n">
        <v>-4952464.9662</v>
      </c>
      <c r="E7" s="2" t="n">
        <f aca="false">D6+E6</f>
        <v>-87368229.2293</v>
      </c>
      <c r="O7" s="0" t="n">
        <f aca="false">LN(C7)</f>
        <v>22.2999892064441</v>
      </c>
      <c r="P7" s="0" t="n">
        <f aca="false">O7-O6</f>
        <v>-0.000996761101731636</v>
      </c>
    </row>
    <row r="8" customFormat="false" ht="12.8" hidden="false" customHeight="false" outlineLevel="0" collapsed="false">
      <c r="B8" s="0" t="n">
        <f aca="false">1+B7</f>
        <v>6</v>
      </c>
      <c r="C8" s="2" t="n">
        <f aca="false">C7+D7</f>
        <v>4834121483.6797</v>
      </c>
      <c r="D8" s="2" t="n">
        <v>-6567372.3124</v>
      </c>
      <c r="E8" s="2" t="n">
        <f aca="false">D7+E7</f>
        <v>-92320694.1955</v>
      </c>
      <c r="O8" s="0" t="n">
        <f aca="false">LN(C8)</f>
        <v>22.29896525</v>
      </c>
      <c r="P8" s="0" t="n">
        <f aca="false">O8-O7</f>
        <v>-0.00102395644408659</v>
      </c>
    </row>
    <row r="9" customFormat="false" ht="12.8" hidden="false" customHeight="false" outlineLevel="0" collapsed="false">
      <c r="B9" s="0" t="n">
        <f aca="false">1+B8</f>
        <v>7</v>
      </c>
      <c r="C9" s="2" t="n">
        <f aca="false">C8+D8</f>
        <v>4827554111.3673</v>
      </c>
      <c r="D9" s="2" t="n">
        <v>-5407095.7757</v>
      </c>
      <c r="E9" s="2" t="n">
        <f aca="false">D8+E8</f>
        <v>-98888066.5079</v>
      </c>
      <c r="O9" s="0" t="n">
        <f aca="false">LN(C9)</f>
        <v>22.2976057811875</v>
      </c>
      <c r="P9" s="0" t="n">
        <f aca="false">O9-O8</f>
        <v>-0.00135946881247406</v>
      </c>
    </row>
    <row r="10" customFormat="false" ht="12.8" hidden="false" customHeight="false" outlineLevel="0" collapsed="false">
      <c r="B10" s="0" t="n">
        <f aca="false">1+B9</f>
        <v>8</v>
      </c>
      <c r="C10" s="2" t="n">
        <f aca="false">C9+D9</f>
        <v>4822147015.5916</v>
      </c>
      <c r="D10" s="2" t="n">
        <v>-3793548.347</v>
      </c>
      <c r="E10" s="2" t="n">
        <f aca="false">D9+E9</f>
        <v>-104295162.2836</v>
      </c>
      <c r="O10" s="0" t="n">
        <f aca="false">LN(C10)</f>
        <v>22.2964851047499</v>
      </c>
      <c r="P10" s="0" t="n">
        <f aca="false">O10-O9</f>
        <v>-0.0011206764376368</v>
      </c>
    </row>
    <row r="11" customFormat="false" ht="12.8" hidden="false" customHeight="false" outlineLevel="0" collapsed="false">
      <c r="B11" s="0" t="n">
        <f aca="false">1+B10</f>
        <v>9</v>
      </c>
      <c r="C11" s="2" t="n">
        <f aca="false">C10+D10</f>
        <v>4818353467.2446</v>
      </c>
      <c r="D11" s="2" t="n">
        <v>-16375781.8529</v>
      </c>
      <c r="E11" s="2" t="n">
        <f aca="false">D10+E10</f>
        <v>-108088710.6306</v>
      </c>
      <c r="O11" s="0" t="n">
        <f aca="false">LN(C11)</f>
        <v>22.2956981023428</v>
      </c>
      <c r="P11" s="0" t="n">
        <f aca="false">O11-O10</f>
        <v>-0.000787002407093951</v>
      </c>
    </row>
    <row r="12" customFormat="false" ht="12.8" hidden="false" customHeight="false" outlineLevel="0" collapsed="false">
      <c r="B12" s="5" t="n">
        <f aca="false">1+B11</f>
        <v>10</v>
      </c>
      <c r="C12" s="6" t="n">
        <f aca="false">C11+D11</f>
        <v>4801977685.3917</v>
      </c>
      <c r="D12" s="7" t="n">
        <v>-2087544.9951</v>
      </c>
      <c r="E12" s="7" t="n">
        <f aca="false">D11+E11</f>
        <v>-124464492.4835</v>
      </c>
      <c r="O12" s="0" t="n">
        <f aca="false">LN(C12)</f>
        <v>22.2922936877942</v>
      </c>
      <c r="P12" s="0" t="n">
        <f aca="false">O12-O11</f>
        <v>-0.00340441454860851</v>
      </c>
    </row>
    <row r="13" customFormat="false" ht="12.8" hidden="false" customHeight="false" outlineLevel="0" collapsed="false">
      <c r="B13" s="5" t="n">
        <f aca="false">1+B12</f>
        <v>11</v>
      </c>
      <c r="C13" s="6" t="n">
        <f aca="false">C12+D12</f>
        <v>4799890140.3966</v>
      </c>
      <c r="D13" s="7" t="n">
        <v>-1596217.9853</v>
      </c>
      <c r="E13" s="7" t="n">
        <f aca="false">D12+E12</f>
        <v>-126552037.4786</v>
      </c>
      <c r="O13" s="0" t="n">
        <f aca="false">LN(C13)</f>
        <v>22.291858867181</v>
      </c>
      <c r="P13" s="0" t="n">
        <f aca="false">O13-O12</f>
        <v>-0.000434820613211429</v>
      </c>
    </row>
    <row r="14" customFormat="false" ht="12.8" hidden="false" customHeight="false" outlineLevel="0" collapsed="false">
      <c r="B14" s="0" t="n">
        <f aca="false">1+B13</f>
        <v>12</v>
      </c>
      <c r="C14" s="2" t="n">
        <f aca="false">C13+D13</f>
        <v>4798293922.4113</v>
      </c>
      <c r="D14" s="2" t="n">
        <v>-6425667.1978</v>
      </c>
      <c r="E14" s="2" t="n">
        <f aca="false">D13+E13</f>
        <v>-128148255.4639</v>
      </c>
      <c r="O14" s="0" t="n">
        <f aca="false">LN(C14)</f>
        <v>22.2915262588481</v>
      </c>
      <c r="P14" s="0" t="n">
        <f aca="false">O14-O13</f>
        <v>-0.000332608332900719</v>
      </c>
    </row>
    <row r="15" customFormat="false" ht="12.8" hidden="false" customHeight="false" outlineLevel="0" collapsed="false">
      <c r="B15" s="0" t="n">
        <f aca="false">1+B14</f>
        <v>13</v>
      </c>
      <c r="C15" s="2" t="n">
        <f aca="false">C14+D14</f>
        <v>4791868255.2135</v>
      </c>
      <c r="D15" s="2" t="n">
        <v>-4260227.3275</v>
      </c>
      <c r="E15" s="2" t="n">
        <f aca="false">D14+E14</f>
        <v>-134573922.6617</v>
      </c>
      <c r="O15" s="0" t="n">
        <f aca="false">LN(C15)</f>
        <v>22.29018620473</v>
      </c>
      <c r="P15" s="0" t="n">
        <f aca="false">O15-O14</f>
        <v>-0.00134005411803528</v>
      </c>
    </row>
    <row r="16" customFormat="false" ht="12.8" hidden="false" customHeight="false" outlineLevel="0" collapsed="false">
      <c r="B16" s="0" t="n">
        <f aca="false">1+B15</f>
        <v>14</v>
      </c>
      <c r="C16" s="2" t="n">
        <f aca="false">C15+D15</f>
        <v>4787608027.886</v>
      </c>
      <c r="D16" s="2" t="n">
        <v>-1070334.0732</v>
      </c>
      <c r="E16" s="2" t="n">
        <f aca="false">D15+E15</f>
        <v>-138834149.9892</v>
      </c>
      <c r="O16" s="0" t="n">
        <f aca="false">LN(C16)</f>
        <v>22.2892967557701</v>
      </c>
      <c r="P16" s="0" t="n">
        <f aca="false">O16-O15</f>
        <v>-0.000889448959934924</v>
      </c>
    </row>
    <row r="17" customFormat="false" ht="12.8" hidden="false" customHeight="false" outlineLevel="0" collapsed="false">
      <c r="B17" s="0" t="n">
        <f aca="false">1+B16</f>
        <v>15</v>
      </c>
      <c r="C17" s="2" t="n">
        <f aca="false">C16+D16</f>
        <v>4786537693.8128</v>
      </c>
      <c r="D17" s="2" t="n">
        <v>-3203476.2259</v>
      </c>
      <c r="E17" s="2" t="n">
        <f aca="false">D16+E16</f>
        <v>-139904484.0624</v>
      </c>
      <c r="O17" s="0" t="n">
        <f aca="false">LN(C17)</f>
        <v>22.2890731673459</v>
      </c>
      <c r="P17" s="0" t="n">
        <f aca="false">O17-O16</f>
        <v>-0.00022358842423742</v>
      </c>
    </row>
    <row r="18" customFormat="false" ht="12.8" hidden="false" customHeight="false" outlineLevel="0" collapsed="false">
      <c r="B18" s="0" t="n">
        <f aca="false">1+B17</f>
        <v>16</v>
      </c>
      <c r="C18" s="2" t="n">
        <f aca="false">C17+D17</f>
        <v>4783334217.5869</v>
      </c>
      <c r="D18" s="2" t="n">
        <v>-846172.0487</v>
      </c>
      <c r="E18" s="2" t="n">
        <f aca="false">D17+E17</f>
        <v>-143107960.2883</v>
      </c>
      <c r="O18" s="0" t="n">
        <f aca="false">LN(C18)</f>
        <v>22.2884036753453</v>
      </c>
      <c r="P18" s="0" t="n">
        <f aca="false">O18-O17</f>
        <v>-0.000669492000564986</v>
      </c>
    </row>
    <row r="19" customFormat="false" ht="12.8" hidden="false" customHeight="false" outlineLevel="0" collapsed="false">
      <c r="B19" s="0" t="n">
        <f aca="false">1+B18</f>
        <v>17</v>
      </c>
      <c r="C19" s="2" t="n">
        <f aca="false">C18+D18</f>
        <v>4782488045.5382</v>
      </c>
      <c r="D19" s="2" t="n">
        <v>-797863.8758</v>
      </c>
      <c r="E19" s="2" t="n">
        <f aca="false">D18+E18</f>
        <v>-143954132.337</v>
      </c>
      <c r="O19" s="0" t="n">
        <f aca="false">LN(C19)</f>
        <v>22.2882267596495</v>
      </c>
      <c r="P19" s="0" t="n">
        <f aca="false">O19-O18</f>
        <v>-0.000176915695824675</v>
      </c>
    </row>
    <row r="20" customFormat="false" ht="12.8" hidden="false" customHeight="false" outlineLevel="0" collapsed="false">
      <c r="B20" s="0" t="n">
        <f aca="false">1+B19</f>
        <v>18</v>
      </c>
      <c r="C20" s="2" t="n">
        <f aca="false">C19+D19</f>
        <v>4781690181.6624</v>
      </c>
      <c r="D20" s="2" t="n">
        <v>-879182.1766</v>
      </c>
      <c r="E20" s="2" t="n">
        <f aca="false">D19+E19</f>
        <v>-144751996.2128</v>
      </c>
      <c r="O20" s="0" t="n">
        <f aca="false">LN(C20)</f>
        <v>22.28805991544</v>
      </c>
      <c r="P20" s="0" t="n">
        <f aca="false">O20-O19</f>
        <v>-0.000166844209442019</v>
      </c>
    </row>
    <row r="21" customFormat="false" ht="12.8" hidden="false" customHeight="false" outlineLevel="0" collapsed="false">
      <c r="B21" s="0" t="n">
        <f aca="false">1+B20</f>
        <v>19</v>
      </c>
      <c r="C21" s="2" t="n">
        <f aca="false">C20+D20</f>
        <v>4780810999.4858</v>
      </c>
      <c r="D21" s="2" t="n">
        <v>-627088.3826</v>
      </c>
      <c r="E21" s="2" t="n">
        <f aca="false">D20+E20</f>
        <v>-145631178.3894</v>
      </c>
      <c r="O21" s="0" t="n">
        <f aca="false">LN(C21)</f>
        <v>22.2878760342227</v>
      </c>
      <c r="P21" s="0" t="n">
        <f aca="false">O21-O20</f>
        <v>-0.000183881217356685</v>
      </c>
    </row>
    <row r="22" customFormat="false" ht="12.8" hidden="false" customHeight="false" outlineLevel="0" collapsed="false">
      <c r="B22" s="0" t="n">
        <f aca="false">1+B21</f>
        <v>20</v>
      </c>
      <c r="C22" s="2" t="n">
        <f aca="false">C21+D21</f>
        <v>4780183911.1032</v>
      </c>
      <c r="D22" s="2" t="n">
        <v>-984798.1526</v>
      </c>
      <c r="E22" s="2" t="n">
        <f aca="false">D21+E21</f>
        <v>-146258266.772</v>
      </c>
      <c r="O22" s="0" t="n">
        <f aca="false">LN(C22)</f>
        <v>22.2877448578358</v>
      </c>
      <c r="P22" s="0" t="n">
        <f aca="false">O22-O21</f>
        <v>-0.000131176386844345</v>
      </c>
    </row>
    <row r="23" customFormat="false" ht="12.8" hidden="false" customHeight="false" outlineLevel="0" collapsed="false">
      <c r="B23" s="0" t="n">
        <f aca="false">1+B22</f>
        <v>21</v>
      </c>
      <c r="C23" s="2" t="n">
        <f aca="false">C22+D22</f>
        <v>4779199112.9506</v>
      </c>
      <c r="D23" s="2" t="n">
        <v>-939605.1824</v>
      </c>
      <c r="E23" s="2" t="n">
        <f aca="false">D22+E22</f>
        <v>-147243064.9246</v>
      </c>
      <c r="O23" s="0" t="n">
        <f aca="false">LN(C23)</f>
        <v>22.2875388198199</v>
      </c>
      <c r="P23" s="0" t="n">
        <f aca="false">O23-O22</f>
        <v>-0.000206038015967636</v>
      </c>
    </row>
    <row r="24" customFormat="false" ht="12.8" hidden="false" customHeight="false" outlineLevel="0" collapsed="false">
      <c r="B24" s="0" t="n">
        <f aca="false">1+B23</f>
        <v>22</v>
      </c>
      <c r="C24" s="2" t="n">
        <f aca="false">C23+D23</f>
        <v>4778259507.7682</v>
      </c>
      <c r="D24" s="2" t="n">
        <v>-496088.451</v>
      </c>
      <c r="E24" s="2" t="n">
        <f aca="false">D23+E23</f>
        <v>-148182670.107</v>
      </c>
      <c r="O24" s="0" t="n">
        <f aca="false">LN(C24)</f>
        <v>22.2873421974283</v>
      </c>
      <c r="P24" s="0" t="n">
        <f aca="false">O24-O23</f>
        <v>-0.000196622391520407</v>
      </c>
    </row>
    <row r="25" customFormat="false" ht="12.8" hidden="false" customHeight="false" outlineLevel="0" collapsed="false">
      <c r="B25" s="0" t="n">
        <f aca="false">1+B24</f>
        <v>23</v>
      </c>
      <c r="C25" s="2" t="n">
        <f aca="false">C24+D24</f>
        <v>4777763419.3172</v>
      </c>
      <c r="D25" s="2" t="n">
        <v>-583200.9368</v>
      </c>
      <c r="E25" s="2" t="n">
        <f aca="false">D24+E24</f>
        <v>-148678758.558</v>
      </c>
      <c r="O25" s="0" t="n">
        <f aca="false">LN(C25)</f>
        <v>22.28723837004</v>
      </c>
      <c r="P25" s="0" t="n">
        <f aca="false">O25-O24</f>
        <v>-0.000103827388283406</v>
      </c>
    </row>
    <row r="26" customFormat="false" ht="12.8" hidden="false" customHeight="false" outlineLevel="0" collapsed="false">
      <c r="B26" s="0" t="n">
        <f aca="false">1+B25</f>
        <v>24</v>
      </c>
      <c r="C26" s="2" t="n">
        <f aca="false">C25+D25</f>
        <v>4777180218.3804</v>
      </c>
      <c r="D26" s="2" t="n">
        <v>-3953139.8817</v>
      </c>
      <c r="E26" s="2" t="n">
        <f aca="false">D25+E25</f>
        <v>-149261959.4948</v>
      </c>
      <c r="O26" s="0" t="n">
        <f aca="false">LN(C26)</f>
        <v>22.2871162969102</v>
      </c>
      <c r="P26" s="0" t="n">
        <f aca="false">O26-O25</f>
        <v>-0.000122073129812605</v>
      </c>
    </row>
    <row r="27" customFormat="false" ht="12.8" hidden="false" customHeight="false" outlineLevel="0" collapsed="false">
      <c r="B27" s="0" t="n">
        <f aca="false">1+B26</f>
        <v>25</v>
      </c>
      <c r="C27" s="2" t="n">
        <f aca="false">C26+D26</f>
        <v>4773227078.4987</v>
      </c>
      <c r="D27" s="2" t="n">
        <v>-1060002.6762</v>
      </c>
      <c r="E27" s="2" t="n">
        <f aca="false">D26+E26</f>
        <v>-153215099.3765</v>
      </c>
      <c r="O27" s="0" t="n">
        <f aca="false">LN(C27)</f>
        <v>22.286288449472</v>
      </c>
      <c r="P27" s="0" t="n">
        <f aca="false">O27-O26</f>
        <v>-0.000827847438248597</v>
      </c>
    </row>
    <row r="28" customFormat="false" ht="12.8" hidden="false" customHeight="false" outlineLevel="0" collapsed="false">
      <c r="B28" s="0" t="n">
        <f aca="false">1+B27</f>
        <v>26</v>
      </c>
      <c r="C28" s="2" t="n">
        <f aca="false">C27+D27</f>
        <v>4772167075.8225</v>
      </c>
      <c r="D28" s="2" t="n">
        <v>-377941.4099</v>
      </c>
      <c r="E28" s="2" t="n">
        <f aca="false">D27+E27</f>
        <v>-154275102.0527</v>
      </c>
      <c r="O28" s="0" t="n">
        <f aca="false">LN(C28)</f>
        <v>22.2860663522671</v>
      </c>
      <c r="P28" s="0" t="n">
        <f aca="false">O28-O27</f>
        <v>-0.000222097204876093</v>
      </c>
    </row>
    <row r="29" customFormat="false" ht="12.8" hidden="false" customHeight="false" outlineLevel="0" collapsed="false">
      <c r="B29" s="0" t="n">
        <f aca="false">1+B28</f>
        <v>27</v>
      </c>
      <c r="C29" s="2" t="n">
        <f aca="false">C28+D28</f>
        <v>4771789134.4126</v>
      </c>
      <c r="D29" s="2" t="n">
        <v>-468755.6722</v>
      </c>
      <c r="E29" s="2" t="n">
        <f aca="false">D28+E28</f>
        <v>-154653043.4626</v>
      </c>
      <c r="O29" s="0" t="n">
        <f aca="false">LN(C29)</f>
        <v>22.2859871521112</v>
      </c>
      <c r="P29" s="0" t="n">
        <f aca="false">O29-O28</f>
        <v>-7.92001559446476E-005</v>
      </c>
    </row>
    <row r="30" customFormat="false" ht="12.8" hidden="false" customHeight="false" outlineLevel="0" collapsed="false">
      <c r="B30" s="0" t="n">
        <f aca="false">1+B29</f>
        <v>28</v>
      </c>
      <c r="C30" s="2" t="n">
        <f aca="false">C29+D29</f>
        <v>4771320378.7404</v>
      </c>
      <c r="D30" s="2" t="n">
        <v>-862164.5659</v>
      </c>
      <c r="E30" s="2" t="n">
        <f aca="false">D29+E29</f>
        <v>-155121799.1348</v>
      </c>
      <c r="O30" s="0" t="n">
        <f aca="false">LN(C30)</f>
        <v>22.2858889125024</v>
      </c>
      <c r="P30" s="0" t="n">
        <f aca="false">O30-O29</f>
        <v>-9.8239608785633E-005</v>
      </c>
    </row>
    <row r="31" customFormat="false" ht="12.8" hidden="false" customHeight="false" outlineLevel="0" collapsed="false">
      <c r="B31" s="0" t="n">
        <f aca="false">1+B30</f>
        <v>29</v>
      </c>
      <c r="C31" s="2" t="n">
        <f aca="false">C30+D30</f>
        <v>4770458214.1745</v>
      </c>
      <c r="D31" s="2" t="n">
        <v>-450629.2714</v>
      </c>
      <c r="E31" s="2" t="n">
        <f aca="false">D30+E30</f>
        <v>-155983963.7007</v>
      </c>
      <c r="O31" s="0" t="n">
        <f aca="false">LN(C31)</f>
        <v>22.2857081989048</v>
      </c>
      <c r="P31" s="0" t="n">
        <f aca="false">O31-O30</f>
        <v>-0.000180713597544013</v>
      </c>
    </row>
    <row r="32" customFormat="false" ht="12.8" hidden="false" customHeight="false" outlineLevel="0" collapsed="false">
      <c r="B32" s="0" t="n">
        <f aca="false">1+B31</f>
        <v>30</v>
      </c>
      <c r="C32" s="2" t="n">
        <f aca="false">C31+D31</f>
        <v>4770007584.9031</v>
      </c>
      <c r="D32" s="2" t="n">
        <v>-630414.1211</v>
      </c>
      <c r="E32" s="2" t="n">
        <f aca="false">D31+E31</f>
        <v>-156434592.9721</v>
      </c>
      <c r="O32" s="0" t="n">
        <f aca="false">LN(C32)</f>
        <v>22.2856137319718</v>
      </c>
      <c r="P32" s="0" t="n">
        <f aca="false">O32-O31</f>
        <v>-9.446693300319E-005</v>
      </c>
    </row>
    <row r="33" customFormat="false" ht="12.8" hidden="false" customHeight="false" outlineLevel="0" collapsed="false">
      <c r="B33" s="0" t="n">
        <f aca="false">1+B32</f>
        <v>31</v>
      </c>
      <c r="C33" s="2" t="n">
        <f aca="false">C32+D32</f>
        <v>4769377170.782</v>
      </c>
      <c r="D33" s="2" t="n">
        <v>-770232.5474</v>
      </c>
      <c r="E33" s="2" t="n">
        <f aca="false">D32+E32</f>
        <v>-157065007.0932</v>
      </c>
      <c r="O33" s="0" t="n">
        <f aca="false">LN(C33)</f>
        <v>22.2854815611583</v>
      </c>
      <c r="P33" s="0" t="n">
        <f aca="false">O33-O32</f>
        <v>-0.000132170813561316</v>
      </c>
    </row>
    <row r="34" customFormat="false" ht="12.8" hidden="false" customHeight="false" outlineLevel="0" collapsed="false">
      <c r="B34" s="0" t="n">
        <f aca="false">1+B33</f>
        <v>32</v>
      </c>
      <c r="C34" s="2" t="n">
        <f aca="false">C33+D33</f>
        <v>4768606938.2346</v>
      </c>
      <c r="D34" s="2" t="n">
        <v>-520014.7261</v>
      </c>
      <c r="E34" s="2" t="n">
        <f aca="false">D33+E33</f>
        <v>-157835239.6406</v>
      </c>
      <c r="O34" s="0" t="n">
        <f aca="false">LN(C34)</f>
        <v>22.2853200527011</v>
      </c>
      <c r="P34" s="0" t="n">
        <f aca="false">O34-O33</f>
        <v>-0.000161508457189541</v>
      </c>
    </row>
    <row r="35" customFormat="false" ht="12.8" hidden="false" customHeight="false" outlineLevel="0" collapsed="false">
      <c r="B35" s="0" t="n">
        <f aca="false">1+B34</f>
        <v>33</v>
      </c>
      <c r="C35" s="2" t="n">
        <f aca="false">C34+D34</f>
        <v>4768086923.5085</v>
      </c>
      <c r="D35" s="2" t="n">
        <v>-1770288.6301</v>
      </c>
      <c r="E35" s="2" t="n">
        <f aca="false">D34+E34</f>
        <v>-158355254.3667</v>
      </c>
      <c r="O35" s="0" t="n">
        <f aca="false">LN(C35)</f>
        <v>22.2852109971449</v>
      </c>
      <c r="P35" s="0" t="n">
        <f aca="false">O35-O34</f>
        <v>-0.00010905555618379</v>
      </c>
    </row>
    <row r="36" customFormat="false" ht="12.8" hidden="false" customHeight="false" outlineLevel="0" collapsed="false">
      <c r="B36" s="0" t="n">
        <f aca="false">1+B35</f>
        <v>34</v>
      </c>
      <c r="C36" s="2" t="n">
        <f aca="false">C35+D35</f>
        <v>4766316634.8784</v>
      </c>
      <c r="D36" s="2" t="n">
        <v>-259013.0738</v>
      </c>
      <c r="E36" s="2" t="n">
        <f aca="false">D35+E35</f>
        <v>-160125542.9968</v>
      </c>
      <c r="O36" s="0" t="n">
        <f aca="false">LN(C36)</f>
        <v>22.2848396496055</v>
      </c>
      <c r="P36" s="0" t="n">
        <f aca="false">O36-O35</f>
        <v>-0.000371347539381617</v>
      </c>
    </row>
    <row r="37" customFormat="false" ht="12.8" hidden="false" customHeight="false" outlineLevel="0" collapsed="false">
      <c r="B37" s="0" t="n">
        <f aca="false">1+B36</f>
        <v>35</v>
      </c>
      <c r="C37" s="2" t="n">
        <f aca="false">C36+D36</f>
        <v>4766057621.8046</v>
      </c>
      <c r="D37" s="2" t="n">
        <v>-6647483.828</v>
      </c>
      <c r="E37" s="2" t="n">
        <f aca="false">D36+E36</f>
        <v>-160384556.0706</v>
      </c>
      <c r="O37" s="0" t="n">
        <f aca="false">LN(C37)</f>
        <v>22.2847853057313</v>
      </c>
      <c r="P37" s="0" t="n">
        <f aca="false">O37-O36</f>
        <v>-5.43438742290903E-005</v>
      </c>
    </row>
    <row r="38" customFormat="false" ht="12.8" hidden="false" customHeight="false" outlineLevel="0" collapsed="false">
      <c r="B38" s="0" t="n">
        <f aca="false">1+B37</f>
        <v>36</v>
      </c>
      <c r="C38" s="2" t="n">
        <f aca="false">C37+D37</f>
        <v>4759410137.9766</v>
      </c>
      <c r="D38" s="2" t="n">
        <v>-2502426.3899</v>
      </c>
      <c r="E38" s="2" t="n">
        <f aca="false">D37+E37</f>
        <v>-167032039.8986</v>
      </c>
      <c r="O38" s="0" t="n">
        <f aca="false">LN(C38)</f>
        <v>22.2833895769178</v>
      </c>
      <c r="P38" s="0" t="n">
        <f aca="false">O38-O37</f>
        <v>-0.00139572881348826</v>
      </c>
    </row>
    <row r="39" customFormat="false" ht="12.8" hidden="false" customHeight="false" outlineLevel="0" collapsed="false">
      <c r="B39" s="0" t="n">
        <f aca="false">1+B38</f>
        <v>37</v>
      </c>
      <c r="C39" s="2" t="n">
        <f aca="false">C38+D38</f>
        <v>4756907711.5867</v>
      </c>
      <c r="D39" s="2" t="n">
        <v>-1324998.379</v>
      </c>
      <c r="E39" s="2" t="n">
        <f aca="false">D38+E38</f>
        <v>-169534466.2885</v>
      </c>
      <c r="O39" s="0" t="n">
        <f aca="false">LN(C39)</f>
        <v>22.282863653659</v>
      </c>
      <c r="P39" s="0" t="n">
        <f aca="false">O39-O38</f>
        <v>-0.000525923258795302</v>
      </c>
    </row>
    <row r="40" customFormat="false" ht="12.8" hidden="false" customHeight="false" outlineLevel="0" collapsed="false">
      <c r="B40" s="0" t="n">
        <f aca="false">1+B39</f>
        <v>38</v>
      </c>
      <c r="C40" s="2" t="n">
        <f aca="false">C39+D39</f>
        <v>4755582713.2077</v>
      </c>
      <c r="D40" s="2" t="n">
        <v>-1010128.5686</v>
      </c>
      <c r="E40" s="2" t="n">
        <f aca="false">D39+E39</f>
        <v>-170859464.6675</v>
      </c>
      <c r="O40" s="0" t="n">
        <f aca="false">LN(C40)</f>
        <v>22.2825850729029</v>
      </c>
      <c r="P40" s="0" t="n">
        <f aca="false">O40-O39</f>
        <v>-0.000278580756120306</v>
      </c>
    </row>
    <row r="41" customFormat="false" ht="12.8" hidden="false" customHeight="false" outlineLevel="0" collapsed="false">
      <c r="B41" s="0" t="n">
        <f aca="false">1+B40</f>
        <v>39</v>
      </c>
      <c r="C41" s="2" t="n">
        <f aca="false">C40+D40</f>
        <v>4754572584.6391</v>
      </c>
      <c r="D41" s="2" t="n">
        <v>-1976922.313</v>
      </c>
      <c r="E41" s="2" t="n">
        <f aca="false">D40+E40</f>
        <v>-171869593.2361</v>
      </c>
      <c r="O41" s="0" t="n">
        <f aca="false">LN(C41)</f>
        <v>22.2823726413409</v>
      </c>
      <c r="P41" s="0" t="n">
        <f aca="false">O41-O40</f>
        <v>-0.000212431562001569</v>
      </c>
    </row>
    <row r="42" customFormat="false" ht="12.8" hidden="false" customHeight="false" outlineLevel="0" collapsed="false">
      <c r="B42" s="8" t="n">
        <f aca="false">1+B41</f>
        <v>40</v>
      </c>
      <c r="C42" s="9" t="n">
        <f aca="false">C41+D41</f>
        <v>4752595662.3261</v>
      </c>
      <c r="D42" s="10" t="n">
        <v>-2192910.8949</v>
      </c>
      <c r="E42" s="10" t="n">
        <f aca="false">D41+E41</f>
        <v>-173846515.5491</v>
      </c>
      <c r="O42" s="0" t="n">
        <f aca="false">LN(C42)</f>
        <v>22.2819567609672</v>
      </c>
      <c r="P42" s="0" t="n">
        <f aca="false">O42-O41</f>
        <v>-0.000415880373658695</v>
      </c>
    </row>
    <row r="43" customFormat="false" ht="12.8" hidden="false" customHeight="false" outlineLevel="0" collapsed="false">
      <c r="B43" s="8" t="n">
        <f aca="false">1+B42</f>
        <v>41</v>
      </c>
      <c r="C43" s="9" t="n">
        <f aca="false">C42+D42</f>
        <v>4750402751.4312</v>
      </c>
      <c r="D43" s="10" t="n">
        <v>-2390464.4373</v>
      </c>
      <c r="E43" s="10" t="n">
        <f aca="false">D42+E42</f>
        <v>-176039426.444</v>
      </c>
      <c r="O43" s="0" t="n">
        <f aca="false">LN(C43)</f>
        <v>22.2814952411735</v>
      </c>
      <c r="P43" s="0" t="n">
        <f aca="false">O43-O42</f>
        <v>-0.000461519793720555</v>
      </c>
    </row>
    <row r="44" customFormat="false" ht="12.8" hidden="false" customHeight="false" outlineLevel="0" collapsed="false">
      <c r="B44" s="0" t="n">
        <f aca="false">1+B43</f>
        <v>42</v>
      </c>
      <c r="C44" s="2" t="n">
        <f aca="false">C43+D43</f>
        <v>4748012286.9939</v>
      </c>
      <c r="D44" s="2" t="n">
        <v>-2192910.8949</v>
      </c>
      <c r="E44" s="2" t="n">
        <f aca="false">D43+E43</f>
        <v>-178429890.8813</v>
      </c>
      <c r="O44" s="0" t="n">
        <f aca="false">LN(C44)</f>
        <v>22.2809919015157</v>
      </c>
      <c r="P44" s="0" t="n">
        <f aca="false">O44-O43</f>
        <v>-0.000503339657850432</v>
      </c>
    </row>
    <row r="45" customFormat="false" ht="12.8" hidden="false" customHeight="false" outlineLevel="0" collapsed="false">
      <c r="B45" s="0" t="n">
        <f aca="false">1+B44</f>
        <v>43</v>
      </c>
      <c r="C45" s="2" t="n">
        <f aca="false">C44+D44</f>
        <v>4745819376.099</v>
      </c>
      <c r="D45" s="2" t="n">
        <v>-1654550.844</v>
      </c>
      <c r="E45" s="2" t="n">
        <f aca="false">D44+E44</f>
        <v>-180622801.7762</v>
      </c>
      <c r="O45" s="0" t="n">
        <f aca="false">LN(C45)</f>
        <v>22.2805299361024</v>
      </c>
      <c r="P45" s="0" t="n">
        <f aca="false">O45-O44</f>
        <v>-0.00046196541327248</v>
      </c>
    </row>
    <row r="46" customFormat="false" ht="12.8" hidden="false" customHeight="false" outlineLevel="0" collapsed="false">
      <c r="B46" s="0" t="n">
        <f aca="false">1+B45</f>
        <v>44</v>
      </c>
      <c r="C46" s="2" t="n">
        <f aca="false">C45+D45</f>
        <v>4744164825.255</v>
      </c>
      <c r="D46" s="2" t="n">
        <v>-2358696.7834</v>
      </c>
      <c r="E46" s="2" t="n">
        <f aca="false">D45+E45</f>
        <v>-182277352.6202</v>
      </c>
      <c r="O46" s="0" t="n">
        <f aca="false">LN(C46)</f>
        <v>22.280181241979</v>
      </c>
      <c r="P46" s="0" t="n">
        <f aca="false">O46-O45</f>
        <v>-0.000348694123331939</v>
      </c>
    </row>
    <row r="47" customFormat="false" ht="12.8" hidden="false" customHeight="false" outlineLevel="0" collapsed="false">
      <c r="B47" s="0" t="n">
        <f aca="false">1+B46</f>
        <v>45</v>
      </c>
      <c r="C47" s="2" t="n">
        <f aca="false">C46+D46</f>
        <v>4741806128.4716</v>
      </c>
      <c r="D47" s="2" t="n">
        <v>-2317871.7201</v>
      </c>
      <c r="E47" s="2" t="n">
        <f aca="false">D46+E46</f>
        <v>-184636049.4036</v>
      </c>
      <c r="O47" s="0" t="n">
        <f aca="false">LN(C47)</f>
        <v>22.2796839398381</v>
      </c>
      <c r="P47" s="0" t="n">
        <f aca="false">O47-O46</f>
        <v>-0.000497302140924916</v>
      </c>
    </row>
    <row r="48" customFormat="false" ht="12.8" hidden="false" customHeight="false" outlineLevel="0" collapsed="false">
      <c r="B48" s="0" t="n">
        <f aca="false">1+B47</f>
        <v>46</v>
      </c>
      <c r="C48" s="2" t="n">
        <f aca="false">C47+D47</f>
        <v>4739488256.7515</v>
      </c>
      <c r="D48" s="2" t="n">
        <v>-754707.5631</v>
      </c>
      <c r="E48" s="2" t="n">
        <f aca="false">D47+E47</f>
        <v>-186953921.1237</v>
      </c>
      <c r="O48" s="0" t="n">
        <f aca="false">LN(C48)</f>
        <v>22.2791950041144</v>
      </c>
      <c r="P48" s="0" t="n">
        <f aca="false">O48-O47</f>
        <v>-0.000488935723772954</v>
      </c>
    </row>
    <row r="49" customFormat="false" ht="12.8" hidden="false" customHeight="false" outlineLevel="0" collapsed="false">
      <c r="B49" s="0" t="n">
        <f aca="false">1+B48</f>
        <v>47</v>
      </c>
      <c r="C49" s="2" t="n">
        <f aca="false">C48+D48</f>
        <v>4738733549.1884</v>
      </c>
      <c r="D49" s="2" t="n">
        <v>-1789752.8642</v>
      </c>
      <c r="E49" s="2" t="n">
        <f aca="false">D48+E48</f>
        <v>-187708628.6868</v>
      </c>
      <c r="O49" s="0" t="n">
        <f aca="false">LN(C49)</f>
        <v>22.2790357532379</v>
      </c>
      <c r="P49" s="0" t="n">
        <f aca="false">O49-O48</f>
        <v>-0.000159250876407668</v>
      </c>
    </row>
    <row r="50" customFormat="false" ht="12.8" hidden="false" customHeight="false" outlineLevel="0" collapsed="false">
      <c r="B50" s="0" t="n">
        <f aca="false">1+B49</f>
        <v>48</v>
      </c>
      <c r="C50" s="2" t="n">
        <f aca="false">C49+D49</f>
        <v>4736943796.3242</v>
      </c>
      <c r="D50" s="2" t="n">
        <v>-1131900.5911</v>
      </c>
      <c r="E50" s="2" t="n">
        <f aca="false">D49+E49</f>
        <v>-189498381.551</v>
      </c>
      <c r="O50" s="0" t="n">
        <f aca="false">LN(C50)</f>
        <v>22.2786579959927</v>
      </c>
      <c r="P50" s="0" t="n">
        <f aca="false">O50-O49</f>
        <v>-0.000377757245257016</v>
      </c>
    </row>
    <row r="51" customFormat="false" ht="12.8" hidden="false" customHeight="false" outlineLevel="0" collapsed="false">
      <c r="B51" s="0" t="n">
        <f aca="false">1+B50</f>
        <v>49</v>
      </c>
      <c r="C51" s="2" t="n">
        <f aca="false">C50+D50</f>
        <v>4735811895.7331</v>
      </c>
      <c r="D51" s="2" t="n">
        <v>-992082.2069</v>
      </c>
      <c r="E51" s="2" t="n">
        <f aca="false">D50+E50</f>
        <v>-190630282.1421</v>
      </c>
      <c r="O51" s="0" t="n">
        <f aca="false">LN(C51)</f>
        <v>22.2784190157776</v>
      </c>
      <c r="P51" s="0" t="n">
        <f aca="false">O51-O50</f>
        <v>-0.000238980215108597</v>
      </c>
    </row>
    <row r="52" customFormat="false" ht="12.8" hidden="false" customHeight="false" outlineLevel="0" collapsed="false">
      <c r="B52" s="0" t="n">
        <f aca="false">1+B51</f>
        <v>50</v>
      </c>
      <c r="C52" s="2" t="n">
        <f aca="false">C51+D51</f>
        <v>4734819813.5262</v>
      </c>
      <c r="D52" s="2" t="n">
        <v>-1118157.3499</v>
      </c>
      <c r="E52" s="2" t="n">
        <f aca="false">D51+E51</f>
        <v>-191622364.349</v>
      </c>
      <c r="O52" s="0" t="n">
        <f aca="false">LN(C52)</f>
        <v>22.2782095086948</v>
      </c>
      <c r="P52" s="0" t="n">
        <f aca="false">O52-O51</f>
        <v>-0.00020950708273304</v>
      </c>
    </row>
    <row r="53" customFormat="false" ht="12.8" hidden="false" customHeight="false" outlineLevel="0" collapsed="false">
      <c r="B53" s="0" t="n">
        <f aca="false">1+B52</f>
        <v>51</v>
      </c>
      <c r="C53" s="2" t="n">
        <f aca="false">C52+D52</f>
        <v>4733701656.1763</v>
      </c>
      <c r="D53" s="2" t="n">
        <v>-992082.2069</v>
      </c>
      <c r="E53" s="2" t="n">
        <f aca="false">D52+E52</f>
        <v>-192740521.6989</v>
      </c>
      <c r="O53" s="0" t="n">
        <f aca="false">LN(C53)</f>
        <v>22.2779733245432</v>
      </c>
      <c r="P53" s="0" t="n">
        <f aca="false">O53-O52</f>
        <v>-0.000236184151599872</v>
      </c>
    </row>
    <row r="54" customFormat="false" ht="12.8" hidden="false" customHeight="false" outlineLevel="0" collapsed="false">
      <c r="B54" s="0" t="n">
        <f aca="false">1+B53</f>
        <v>52</v>
      </c>
      <c r="C54" s="2" t="n">
        <f aca="false">C53+D53</f>
        <v>4732709573.9694</v>
      </c>
      <c r="D54" s="2" t="n">
        <v>-1118157.3499</v>
      </c>
      <c r="E54" s="2" t="n">
        <f aca="false">D53+E53</f>
        <v>-193732603.9058</v>
      </c>
      <c r="O54" s="0" t="n">
        <f aca="false">LN(C54)</f>
        <v>22.2777637240544</v>
      </c>
      <c r="P54" s="0" t="n">
        <f aca="false">O54-O53</f>
        <v>-0.000209600488801698</v>
      </c>
    </row>
    <row r="55" customFormat="false" ht="12.8" hidden="false" customHeight="false" outlineLevel="0" collapsed="false">
      <c r="B55" s="0" t="n">
        <f aca="false">1+B54</f>
        <v>53</v>
      </c>
      <c r="C55" s="2" t="n">
        <f aca="false">C54+D54</f>
        <v>4731591416.6195</v>
      </c>
      <c r="D55" s="2" t="n">
        <v>-992082.2069</v>
      </c>
      <c r="E55" s="2" t="n">
        <f aca="false">D54+E54</f>
        <v>-194850761.2557</v>
      </c>
      <c r="O55" s="0" t="n">
        <f aca="false">LN(C55)</f>
        <v>22.2775274345797</v>
      </c>
      <c r="P55" s="0" t="n">
        <f aca="false">O55-O54</f>
        <v>-0.000236289474777607</v>
      </c>
    </row>
    <row r="56" customFormat="false" ht="12.8" hidden="false" customHeight="false" outlineLevel="0" collapsed="false">
      <c r="B56" s="0" t="n">
        <f aca="false">1+B55</f>
        <v>54</v>
      </c>
      <c r="C56" s="2" t="n">
        <f aca="false">C55+D55</f>
        <v>4730599334.4126</v>
      </c>
      <c r="D56" s="2" t="n">
        <v>-731722.9726</v>
      </c>
      <c r="E56" s="2" t="n">
        <f aca="false">D55+E55</f>
        <v>-195842843.4626</v>
      </c>
      <c r="O56" s="0" t="n">
        <f aca="false">LN(C56)</f>
        <v>22.2773177406015</v>
      </c>
      <c r="P56" s="0" t="n">
        <f aca="false">O56-O55</f>
        <v>-0.000209693978202807</v>
      </c>
    </row>
    <row r="57" customFormat="false" ht="12.8" hidden="false" customHeight="false" outlineLevel="0" collapsed="false">
      <c r="B57" s="0" t="n">
        <f aca="false">1+B56</f>
        <v>55</v>
      </c>
      <c r="C57" s="2" t="n">
        <f aca="false">C56+D56</f>
        <v>4729867611.44</v>
      </c>
      <c r="D57" s="2" t="n">
        <v>-1113935.5606</v>
      </c>
      <c r="E57" s="2" t="n">
        <f aca="false">D56+E56</f>
        <v>-196574566.4352</v>
      </c>
      <c r="O57" s="0" t="n">
        <f aca="false">LN(C57)</f>
        <v>22.2771630499338</v>
      </c>
      <c r="P57" s="0" t="n">
        <f aca="false">O57-O56</f>
        <v>-0.000154690667645951</v>
      </c>
    </row>
    <row r="58" customFormat="false" ht="12.8" hidden="false" customHeight="false" outlineLevel="0" collapsed="false">
      <c r="B58" s="0" t="n">
        <f aca="false">1+B57</f>
        <v>56</v>
      </c>
      <c r="C58" s="2" t="n">
        <f aca="false">C57+D57</f>
        <v>4728753675.8794</v>
      </c>
      <c r="D58" s="2" t="n">
        <v>-545365.505</v>
      </c>
      <c r="E58" s="2" t="n">
        <f aca="false">D57+E57</f>
        <v>-197688501.9958</v>
      </c>
      <c r="O58" s="0" t="n">
        <f aca="false">LN(C58)</f>
        <v>22.2769275112582</v>
      </c>
      <c r="P58" s="0" t="n">
        <f aca="false">O58-O57</f>
        <v>-0.000235538675653402</v>
      </c>
    </row>
    <row r="59" customFormat="false" ht="12.8" hidden="false" customHeight="false" outlineLevel="0" collapsed="false">
      <c r="B59" s="0" t="n">
        <f aca="false">1+B58</f>
        <v>57</v>
      </c>
      <c r="C59" s="2" t="n">
        <f aca="false">C58+D58</f>
        <v>4728208310.3744</v>
      </c>
      <c r="D59" s="2" t="n">
        <v>-1544528.6125</v>
      </c>
      <c r="E59" s="2" t="n">
        <f aca="false">D58+E58</f>
        <v>-198233867.5008</v>
      </c>
      <c r="O59" s="0" t="n">
        <f aca="false">LN(C59)</f>
        <v>22.2768121749575</v>
      </c>
      <c r="P59" s="0" t="n">
        <f aca="false">O59-O58</f>
        <v>-0.000115336300684277</v>
      </c>
    </row>
    <row r="60" customFormat="false" ht="12.8" hidden="false" customHeight="false" outlineLevel="0" collapsed="false">
      <c r="B60" s="0" t="n">
        <f aca="false">1+B59</f>
        <v>58</v>
      </c>
      <c r="C60" s="2" t="n">
        <f aca="false">C59+D59</f>
        <v>4726663781.7619</v>
      </c>
      <c r="D60" s="2" t="n">
        <v>-645366.7657</v>
      </c>
      <c r="E60" s="2" t="n">
        <f aca="false">D59+E59</f>
        <v>-199778396.1133</v>
      </c>
      <c r="O60" s="0" t="n">
        <f aca="false">LN(C60)</f>
        <v>22.2764854590355</v>
      </c>
      <c r="P60" s="0" t="n">
        <f aca="false">O60-O59</f>
        <v>-0.000326715921946885</v>
      </c>
    </row>
    <row r="61" customFormat="false" ht="12.8" hidden="false" customHeight="false" outlineLevel="0" collapsed="false">
      <c r="B61" s="0" t="n">
        <f aca="false">1+B60</f>
        <v>59</v>
      </c>
      <c r="C61" s="2" t="n">
        <f aca="false">C60+D60</f>
        <v>4726018414.9962</v>
      </c>
      <c r="D61" s="2" t="n">
        <v>-480352.2625</v>
      </c>
      <c r="E61" s="2" t="n">
        <f aca="false">D60+E60</f>
        <v>-200423762.879</v>
      </c>
      <c r="O61" s="0" t="n">
        <f aca="false">LN(C61)</f>
        <v>22.2763489122326</v>
      </c>
      <c r="P61" s="0" t="n">
        <f aca="false">O61-O60</f>
        <v>-0.000136546802963267</v>
      </c>
    </row>
    <row r="62" customFormat="false" ht="12.8" hidden="false" customHeight="false" outlineLevel="0" collapsed="false">
      <c r="B62" s="0" t="n">
        <f aca="false">1+B61</f>
        <v>60</v>
      </c>
      <c r="C62" s="2" t="n">
        <f aca="false">C61+D61</f>
        <v>4725538062.7337</v>
      </c>
      <c r="D62" s="2" t="n">
        <v>-480352.2625</v>
      </c>
      <c r="E62" s="2" t="n">
        <f aca="false">D61+E61</f>
        <v>-200904115.1415</v>
      </c>
      <c r="O62" s="0" t="n">
        <f aca="false">LN(C62)</f>
        <v>22.2762472671196</v>
      </c>
      <c r="P62" s="0" t="n">
        <f aca="false">O62-O61</f>
        <v>-0.000101645112959403</v>
      </c>
    </row>
    <row r="63" customFormat="false" ht="12.8" hidden="false" customHeight="false" outlineLevel="0" collapsed="false">
      <c r="B63" s="0" t="n">
        <f aca="false">1+B62</f>
        <v>61</v>
      </c>
      <c r="C63" s="2" t="n">
        <f aca="false">C62+D62</f>
        <v>4725057710.4712</v>
      </c>
      <c r="D63" s="2" t="n">
        <v>-480352.2625</v>
      </c>
      <c r="E63" s="2" t="n">
        <f aca="false">D62+E62</f>
        <v>-201384467.404</v>
      </c>
      <c r="O63" s="0" t="n">
        <f aca="false">LN(C63)</f>
        <v>22.2761456116739</v>
      </c>
      <c r="P63" s="0" t="n">
        <f aca="false">O63-O62</f>
        <v>-0.000101655445739368</v>
      </c>
    </row>
    <row r="64" customFormat="false" ht="12.8" hidden="false" customHeight="false" outlineLevel="0" collapsed="false">
      <c r="B64" s="0" t="n">
        <f aca="false">1+B63</f>
        <v>62</v>
      </c>
      <c r="C64" s="2" t="n">
        <f aca="false">C63+D63</f>
        <v>4724577358.2087</v>
      </c>
      <c r="D64" s="2" t="n">
        <v>-480352.2625</v>
      </c>
      <c r="E64" s="2" t="n">
        <f aca="false">D63+E63</f>
        <v>-201864819.6665</v>
      </c>
      <c r="O64" s="0" t="n">
        <f aca="false">LN(C64)</f>
        <v>22.2760439458933</v>
      </c>
      <c r="P64" s="0" t="n">
        <f aca="false">O64-O63</f>
        <v>-0.000101665780618987</v>
      </c>
    </row>
    <row r="65" customFormat="false" ht="12.8" hidden="false" customHeight="false" outlineLevel="0" collapsed="false">
      <c r="B65" s="0" t="n">
        <f aca="false">1+B64</f>
        <v>63</v>
      </c>
      <c r="C65" s="2" t="n">
        <f aca="false">C64+D64</f>
        <v>4724097005.9462</v>
      </c>
      <c r="D65" s="2" t="n">
        <v>-480352.2625</v>
      </c>
      <c r="E65" s="2" t="n">
        <f aca="false">D64+E64</f>
        <v>-202345171.929</v>
      </c>
      <c r="O65" s="0" t="n">
        <f aca="false">LN(C65)</f>
        <v>22.2759422697756</v>
      </c>
      <c r="P65" s="0" t="n">
        <f aca="false">O65-O64</f>
        <v>-0.000101676117601812</v>
      </c>
    </row>
    <row r="66" customFormat="false" ht="12.8" hidden="false" customHeight="false" outlineLevel="0" collapsed="false">
      <c r="B66" s="0" t="n">
        <f aca="false">1+B65</f>
        <v>64</v>
      </c>
      <c r="C66" s="2" t="n">
        <f aca="false">C65+D65</f>
        <v>4723616653.6837</v>
      </c>
      <c r="D66" s="2" t="n">
        <v>-480352.2625</v>
      </c>
      <c r="E66" s="2" t="n">
        <f aca="false">D65+E65</f>
        <v>-202825524.1915</v>
      </c>
      <c r="O66" s="0" t="n">
        <f aca="false">LN(C66)</f>
        <v>22.275840583319</v>
      </c>
      <c r="P66" s="0" t="n">
        <f aca="false">O66-O65</f>
        <v>-0.000101686456687844</v>
      </c>
    </row>
    <row r="67" customFormat="false" ht="12.8" hidden="false" customHeight="false" outlineLevel="0" collapsed="false">
      <c r="B67" s="0" t="n">
        <f aca="false">1+B66</f>
        <v>65</v>
      </c>
      <c r="C67" s="2" t="n">
        <f aca="false">C66+D66</f>
        <v>4723136301.4212</v>
      </c>
      <c r="D67" s="2" t="n">
        <v>-352573.4356</v>
      </c>
      <c r="E67" s="2" t="n">
        <f aca="false">D66+E66</f>
        <v>-203305876.454</v>
      </c>
      <c r="O67" s="0" t="n">
        <f aca="false">LN(C67)</f>
        <v>22.2757388865211</v>
      </c>
      <c r="P67" s="0" t="n">
        <f aca="false">O67-O66</f>
        <v>-0.000101696797869977</v>
      </c>
    </row>
    <row r="68" customFormat="false" ht="12.8" hidden="false" customHeight="false" outlineLevel="0" collapsed="false">
      <c r="B68" s="0" t="n">
        <f aca="false">1+B67</f>
        <v>66</v>
      </c>
      <c r="C68" s="2" t="n">
        <f aca="false">C67+D67</f>
        <v>4722783727.9856</v>
      </c>
      <c r="D68" s="2" t="n">
        <v>-598972.9039</v>
      </c>
      <c r="E68" s="2" t="n">
        <f aca="false">D67+E67</f>
        <v>-203658449.8896</v>
      </c>
      <c r="O68" s="0" t="n">
        <f aca="false">LN(C68)</f>
        <v>22.2756642355745</v>
      </c>
      <c r="P68" s="0" t="n">
        <f aca="false">O68-O67</f>
        <v>-7.46509465834322E-005</v>
      </c>
    </row>
    <row r="69" customFormat="false" ht="12.8" hidden="false" customHeight="false" outlineLevel="0" collapsed="false">
      <c r="B69" s="0" t="n">
        <f aca="false">1+B68</f>
        <v>67</v>
      </c>
      <c r="C69" s="2" t="n">
        <f aca="false">C68+D68</f>
        <v>4722184755.0817</v>
      </c>
      <c r="D69" s="2" t="n">
        <v>-380673.2243</v>
      </c>
      <c r="E69" s="2" t="n">
        <f aca="false">D68+E68</f>
        <v>-204257422.7935</v>
      </c>
      <c r="O69" s="0" t="n">
        <f aca="false">LN(C69)</f>
        <v>22.2755374012911</v>
      </c>
      <c r="P69" s="0" t="n">
        <f aca="false">O69-O68</f>
        <v>-0.000126834283413757</v>
      </c>
    </row>
    <row r="70" customFormat="false" ht="12.8" hidden="false" customHeight="false" outlineLevel="0" collapsed="false">
      <c r="B70" s="0" t="n">
        <f aca="false">1+B69</f>
        <v>68</v>
      </c>
      <c r="C70" s="2" t="n">
        <f aca="false">C69+D69</f>
        <v>4721804081.8574</v>
      </c>
      <c r="D70" s="2" t="n">
        <v>-189948.703</v>
      </c>
      <c r="E70" s="2" t="n">
        <f aca="false">D69+E69</f>
        <v>-204638096.0178</v>
      </c>
      <c r="O70" s="0" t="n">
        <f aca="false">LN(C70)</f>
        <v>22.2754567842486</v>
      </c>
      <c r="P70" s="0" t="n">
        <f aca="false">O70-O69</f>
        <v>-8.06170424532127E-005</v>
      </c>
    </row>
    <row r="71" customFormat="false" ht="12.8" hidden="false" customHeight="false" outlineLevel="0" collapsed="false">
      <c r="B71" s="0" t="n">
        <f aca="false">1+B70</f>
        <v>69</v>
      </c>
      <c r="C71" s="2" t="n">
        <f aca="false">C70+D70</f>
        <v>4721614133.1544</v>
      </c>
      <c r="D71" s="2" t="n">
        <v>-2712682.5266</v>
      </c>
      <c r="E71" s="2" t="n">
        <f aca="false">D70+E70</f>
        <v>-204828044.7208</v>
      </c>
      <c r="O71" s="0" t="n">
        <f aca="false">LN(C71)</f>
        <v>22.2754165554462</v>
      </c>
      <c r="P71" s="0" t="n">
        <f aca="false">O71-O70</f>
        <v>-4.02288024758946E-005</v>
      </c>
    </row>
    <row r="72" customFormat="false" ht="12.8" hidden="false" customHeight="false" outlineLevel="0" collapsed="false">
      <c r="B72" s="0" t="n">
        <f aca="false">1+B71</f>
        <v>70</v>
      </c>
      <c r="C72" s="2" t="n">
        <f aca="false">C71+D71</f>
        <v>4718901450.6278</v>
      </c>
      <c r="D72" s="2" t="n">
        <v>-443066.1627</v>
      </c>
      <c r="E72" s="2" t="n">
        <f aca="false">D71+E71</f>
        <v>-207540727.2474</v>
      </c>
      <c r="O72" s="0" t="n">
        <f aca="false">LN(C72)</f>
        <v>22.2748418659438</v>
      </c>
      <c r="P72" s="0" t="n">
        <f aca="false">O72-O71</f>
        <v>-0.000574689502322201</v>
      </c>
    </row>
    <row r="73" customFormat="false" ht="12.8" hidden="false" customHeight="false" outlineLevel="0" collapsed="false">
      <c r="B73" s="0" t="n">
        <f aca="false">1+B72</f>
        <v>71</v>
      </c>
      <c r="C73" s="2" t="n">
        <f aca="false">C72+D72</f>
        <v>4718458384.4651</v>
      </c>
      <c r="D73" s="2" t="n">
        <v>-393109.303</v>
      </c>
      <c r="E73" s="2" t="n">
        <f aca="false">D72+E72</f>
        <v>-207983793.4101</v>
      </c>
      <c r="O73" s="0" t="n">
        <f aca="false">LN(C73)</f>
        <v>22.2747479697333</v>
      </c>
      <c r="P73" s="0" t="n">
        <f aca="false">O73-O72</f>
        <v>-9.38962105436758E-005</v>
      </c>
    </row>
    <row r="74" customFormat="false" ht="12.8" hidden="false" customHeight="false" outlineLevel="0" collapsed="false">
      <c r="B74" s="0" t="n">
        <f aca="false">1+B73</f>
        <v>72</v>
      </c>
      <c r="C74" s="2" t="n">
        <f aca="false">C73+D73</f>
        <v>4718065275.1621</v>
      </c>
      <c r="D74" s="2" t="n">
        <v>-249837.9892</v>
      </c>
      <c r="E74" s="2" t="n">
        <f aca="false">D73+E73</f>
        <v>-208376902.7131</v>
      </c>
      <c r="O74" s="0" t="n">
        <f aca="false">LN(C74)</f>
        <v>22.2746646531821</v>
      </c>
      <c r="P74" s="0" t="n">
        <f aca="false">O74-O73</f>
        <v>-8.33165511799905E-005</v>
      </c>
    </row>
    <row r="75" customFormat="false" ht="12.8" hidden="false" customHeight="false" outlineLevel="0" collapsed="false">
      <c r="B75" s="0" t="n">
        <f aca="false">1+B74</f>
        <v>73</v>
      </c>
      <c r="C75" s="2" t="n">
        <f aca="false">C74+D74</f>
        <v>4717815437.1729</v>
      </c>
      <c r="D75" s="2" t="n">
        <v>-730152.5987</v>
      </c>
      <c r="E75" s="2" t="n">
        <f aca="false">D74+E74</f>
        <v>-208626740.7023</v>
      </c>
      <c r="O75" s="0" t="n">
        <f aca="false">LN(C75)</f>
        <v>22.2746116982971</v>
      </c>
      <c r="P75" s="0" t="n">
        <f aca="false">O75-O74</f>
        <v>-5.2954885056522E-005</v>
      </c>
    </row>
    <row r="76" customFormat="false" ht="12.8" hidden="false" customHeight="false" outlineLevel="0" collapsed="false">
      <c r="B76" s="0" t="n">
        <f aca="false">1+B75</f>
        <v>74</v>
      </c>
      <c r="C76" s="2" t="n">
        <f aca="false">C75+D75</f>
        <v>4717085284.5742</v>
      </c>
      <c r="D76" s="2" t="n">
        <v>-141658.8704</v>
      </c>
      <c r="E76" s="2" t="n">
        <f aca="false">D75+E75</f>
        <v>-209356893.301</v>
      </c>
      <c r="O76" s="0" t="n">
        <f aca="false">LN(C76)</f>
        <v>22.2744569213425</v>
      </c>
      <c r="P76" s="0" t="n">
        <f aca="false">O76-O75</f>
        <v>-0.000154776954563118</v>
      </c>
    </row>
    <row r="77" customFormat="false" ht="12.8" hidden="false" customHeight="false" outlineLevel="0" collapsed="false">
      <c r="B77" s="0" t="n">
        <f aca="false">1+B76</f>
        <v>75</v>
      </c>
      <c r="C77" s="2" t="n">
        <f aca="false">C76+D76</f>
        <v>4716943625.7038</v>
      </c>
      <c r="D77" s="2" t="n">
        <v>-1628752.0284</v>
      </c>
      <c r="E77" s="2" t="n">
        <f aca="false">D76+E76</f>
        <v>-209498552.1714</v>
      </c>
      <c r="O77" s="0" t="n">
        <f aca="false">LN(C77)</f>
        <v>22.2744268898741</v>
      </c>
      <c r="P77" s="0" t="n">
        <f aca="false">O77-O76</f>
        <v>-3.00314683698844E-005</v>
      </c>
    </row>
    <row r="78" customFormat="false" ht="12.8" hidden="false" customHeight="false" outlineLevel="0" collapsed="false">
      <c r="B78" s="0" t="n">
        <f aca="false">1+B77</f>
        <v>76</v>
      </c>
      <c r="C78" s="2" t="n">
        <f aca="false">C77+D77</f>
        <v>4715314873.6754</v>
      </c>
      <c r="D78" s="2" t="n">
        <v>-1314781.5534</v>
      </c>
      <c r="E78" s="2" t="n">
        <f aca="false">D77+E77</f>
        <v>-211127304.1998</v>
      </c>
      <c r="O78" s="0" t="n">
        <f aca="false">LN(C78)</f>
        <v>22.2740815320694</v>
      </c>
      <c r="P78" s="0" t="n">
        <f aca="false">O78-O77</f>
        <v>-0.000345357804750535</v>
      </c>
    </row>
    <row r="79" customFormat="false" ht="12.8" hidden="false" customHeight="false" outlineLevel="0" collapsed="false">
      <c r="B79" s="0" t="n">
        <f aca="false">1+B78</f>
        <v>77</v>
      </c>
      <c r="C79" s="2" t="n">
        <f aca="false">C78+D78</f>
        <v>4714000092.122</v>
      </c>
      <c r="D79" s="2" t="n">
        <v>-26628.6777</v>
      </c>
      <c r="E79" s="2" t="n">
        <f aca="false">D78+E78</f>
        <v>-212442085.7532</v>
      </c>
      <c r="O79" s="0" t="n">
        <f aca="false">LN(C79)</f>
        <v>22.2738026610026</v>
      </c>
      <c r="P79" s="0" t="n">
        <f aca="false">O79-O78</f>
        <v>-0.000278871066811348</v>
      </c>
    </row>
    <row r="80" customFormat="false" ht="12.8" hidden="false" customHeight="false" outlineLevel="0" collapsed="false">
      <c r="B80" s="0" t="n">
        <f aca="false">1+B79</f>
        <v>78</v>
      </c>
      <c r="C80" s="2" t="n">
        <f aca="false">C79+D79</f>
        <v>4713973463.4443</v>
      </c>
      <c r="D80" s="2" t="n">
        <v>-26628.6777</v>
      </c>
      <c r="E80" s="2" t="n">
        <f aca="false">D79+E79</f>
        <v>-212468714.4309</v>
      </c>
      <c r="O80" s="0" t="n">
        <f aca="false">LN(C80)</f>
        <v>22.273797012137</v>
      </c>
      <c r="P80" s="0" t="n">
        <f aca="false">O80-O79</f>
        <v>-5.64886559217825E-006</v>
      </c>
    </row>
    <row r="81" customFormat="false" ht="12.8" hidden="false" customHeight="false" outlineLevel="0" collapsed="false">
      <c r="B81" s="0" t="n">
        <f aca="false">1+B80</f>
        <v>79</v>
      </c>
      <c r="C81" s="2" t="n">
        <f aca="false">C80+D80</f>
        <v>4713946834.7666</v>
      </c>
      <c r="D81" s="2" t="n">
        <v>-927084.8002</v>
      </c>
      <c r="E81" s="2" t="n">
        <f aca="false">D80+E80</f>
        <v>-212495343.1086</v>
      </c>
      <c r="O81" s="0" t="n">
        <f aca="false">LN(C81)</f>
        <v>22.2737913632395</v>
      </c>
      <c r="P81" s="0" t="n">
        <f aca="false">O81-O80</f>
        <v>-5.6488974990998E-006</v>
      </c>
    </row>
    <row r="82" customFormat="false" ht="12.8" hidden="false" customHeight="false" outlineLevel="0" collapsed="false">
      <c r="B82" s="0" t="n">
        <f aca="false">1+B81</f>
        <v>80</v>
      </c>
      <c r="C82" s="2" t="n">
        <f aca="false">C81+D81</f>
        <v>4713019749.9664</v>
      </c>
      <c r="D82" s="2" t="n">
        <v>-1521513.4387</v>
      </c>
      <c r="E82" s="2" t="n">
        <f aca="false">D81+E81</f>
        <v>-213422427.9088</v>
      </c>
      <c r="O82" s="0" t="n">
        <f aca="false">LN(C82)</f>
        <v>22.2735946754089</v>
      </c>
      <c r="P82" s="0" t="n">
        <f aca="false">O82-O81</f>
        <v>-0.000196687830566589</v>
      </c>
    </row>
    <row r="83" customFormat="false" ht="12.8" hidden="false" customHeight="false" outlineLevel="0" collapsed="false">
      <c r="B83" s="0" t="n">
        <f aca="false">1+B82</f>
        <v>81</v>
      </c>
      <c r="C83" s="2" t="n">
        <f aca="false">C82+D82</f>
        <v>4711498236.5277</v>
      </c>
      <c r="D83" s="2" t="n">
        <v>-974146.0161</v>
      </c>
      <c r="E83" s="2" t="n">
        <f aca="false">D82+E82</f>
        <v>-214943941.3475</v>
      </c>
      <c r="O83" s="0" t="n">
        <f aca="false">LN(C83)</f>
        <v>22.27327179132</v>
      </c>
      <c r="P83" s="0" t="n">
        <f aca="false">O83-O82</f>
        <v>-0.000322884088948427</v>
      </c>
    </row>
    <row r="84" customFormat="false" ht="12.8" hidden="false" customHeight="false" outlineLevel="0" collapsed="false">
      <c r="B84" s="0" t="n">
        <f aca="false">1+B83</f>
        <v>82</v>
      </c>
      <c r="C84" s="2" t="n">
        <f aca="false">C83+D83</f>
        <v>4710524090.5116</v>
      </c>
      <c r="D84" s="2" t="n">
        <v>-3148107.4919</v>
      </c>
      <c r="E84" s="2" t="n">
        <f aca="false">D83+E83</f>
        <v>-215918087.3636</v>
      </c>
      <c r="O84" s="0" t="n">
        <f aca="false">LN(C84)</f>
        <v>22.2730650106553</v>
      </c>
      <c r="P84" s="0" t="n">
        <f aca="false">O84-O83</f>
        <v>-0.000206780664651518</v>
      </c>
    </row>
    <row r="85" customFormat="false" ht="12.8" hidden="false" customHeight="false" outlineLevel="0" collapsed="false">
      <c r="B85" s="0" t="n">
        <f aca="false">1+B84</f>
        <v>83</v>
      </c>
      <c r="C85" s="2" t="n">
        <f aca="false">C84+D84</f>
        <v>4707375983.0197</v>
      </c>
      <c r="D85" s="2" t="n">
        <v>-913930.6882</v>
      </c>
      <c r="E85" s="2" t="n">
        <f aca="false">D84+E84</f>
        <v>-219066194.8555</v>
      </c>
      <c r="O85" s="0" t="n">
        <f aca="false">LN(C85)</f>
        <v>22.2723964735962</v>
      </c>
      <c r="P85" s="0" t="n">
        <f aca="false">O85-O84</f>
        <v>-0.000668537059123509</v>
      </c>
    </row>
    <row r="86" customFormat="false" ht="12.8" hidden="false" customHeight="false" outlineLevel="0" collapsed="false">
      <c r="B86" s="0" t="n">
        <f aca="false">1+B85</f>
        <v>84</v>
      </c>
      <c r="C86" s="2" t="n">
        <f aca="false">C85+D85</f>
        <v>4706462052.3315</v>
      </c>
      <c r="D86" s="2" t="n">
        <v>-487127.782</v>
      </c>
      <c r="E86" s="2" t="n">
        <f aca="false">D85+E85</f>
        <v>-219980125.5437</v>
      </c>
      <c r="O86" s="0" t="n">
        <f aca="false">LN(C86)</f>
        <v>22.2722023060977</v>
      </c>
      <c r="P86" s="0" t="n">
        <f aca="false">O86-O85</f>
        <v>-0.000194167498452913</v>
      </c>
    </row>
    <row r="87" customFormat="false" ht="12.8" hidden="false" customHeight="false" outlineLevel="0" collapsed="false">
      <c r="B87" s="0" t="n">
        <f aca="false">1+B86</f>
        <v>85</v>
      </c>
      <c r="C87" s="2" t="n">
        <f aca="false">C86+D86</f>
        <v>4705974924.5495</v>
      </c>
      <c r="D87" s="2" t="n">
        <v>-592810.4431</v>
      </c>
      <c r="E87" s="2" t="n">
        <f aca="false">D86+E86</f>
        <v>-220467253.3257</v>
      </c>
      <c r="O87" s="0" t="n">
        <f aca="false">LN(C87)</f>
        <v>22.2720987988374</v>
      </c>
      <c r="P87" s="0" t="n">
        <f aca="false">O87-O86</f>
        <v>-0.000103507260366342</v>
      </c>
    </row>
    <row r="88" customFormat="false" ht="12.8" hidden="false" customHeight="false" outlineLevel="0" collapsed="false">
      <c r="B88" s="0" t="n">
        <f aca="false">1+B87</f>
        <v>86</v>
      </c>
      <c r="C88" s="2" t="n">
        <f aca="false">C87+D87</f>
        <v>4705382114.1064</v>
      </c>
      <c r="D88" s="2" t="n">
        <v>-284276.2475</v>
      </c>
      <c r="E88" s="2" t="n">
        <f aca="false">D87+E87</f>
        <v>-221060063.7688</v>
      </c>
      <c r="O88" s="0" t="n">
        <f aca="false">LN(C88)</f>
        <v>22.2719728211614</v>
      </c>
      <c r="P88" s="0" t="n">
        <f aca="false">O88-O87</f>
        <v>-0.000125977676002975</v>
      </c>
    </row>
    <row r="89" customFormat="false" ht="12.8" hidden="false" customHeight="false" outlineLevel="0" collapsed="false">
      <c r="B89" s="0" t="n">
        <f aca="false">1+B88</f>
        <v>87</v>
      </c>
      <c r="C89" s="2" t="n">
        <f aca="false">C88+D88</f>
        <v>4705097837.8589</v>
      </c>
      <c r="D89" s="2" t="n">
        <v>-166729.9615</v>
      </c>
      <c r="E89" s="2" t="n">
        <f aca="false">D88+E88</f>
        <v>-221344340.0163</v>
      </c>
      <c r="O89" s="0" t="n">
        <f aca="false">LN(C89)</f>
        <v>22.2719124042115</v>
      </c>
      <c r="P89" s="0" t="n">
        <f aca="false">O89-O88</f>
        <v>-6.04169498359397E-005</v>
      </c>
    </row>
    <row r="90" customFormat="false" ht="12.8" hidden="false" customHeight="false" outlineLevel="0" collapsed="false">
      <c r="B90" s="0" t="n">
        <f aca="false">1+B89</f>
        <v>88</v>
      </c>
      <c r="C90" s="2" t="n">
        <f aca="false">C89+D89</f>
        <v>4704931107.8974</v>
      </c>
      <c r="D90" s="2" t="n">
        <v>-66490.4244</v>
      </c>
      <c r="E90" s="2" t="n">
        <f aca="false">D89+E89</f>
        <v>-221511069.9778</v>
      </c>
      <c r="O90" s="0" t="n">
        <f aca="false">LN(C90)</f>
        <v>22.2718769675593</v>
      </c>
      <c r="P90" s="0" t="n">
        <f aca="false">O90-O89</f>
        <v>-3.54366522081762E-005</v>
      </c>
    </row>
    <row r="91" customFormat="false" ht="12.8" hidden="false" customHeight="false" outlineLevel="0" collapsed="false">
      <c r="B91" s="0" t="n">
        <f aca="false">1+B90</f>
        <v>89</v>
      </c>
      <c r="C91" s="2" t="n">
        <f aca="false">C90+D90</f>
        <v>4704864617.473</v>
      </c>
      <c r="D91" s="2" t="n">
        <v>-55090.0947</v>
      </c>
      <c r="E91" s="2" t="n">
        <f aca="false">D90+E90</f>
        <v>-221577560.4022</v>
      </c>
      <c r="O91" s="0" t="n">
        <f aca="false">LN(C91)</f>
        <v>22.2718628353876</v>
      </c>
      <c r="P91" s="0" t="n">
        <f aca="false">O91-O90</f>
        <v>-1.41321716959908E-005</v>
      </c>
    </row>
    <row r="92" customFormat="false" ht="12.8" hidden="false" customHeight="false" outlineLevel="0" collapsed="false">
      <c r="B92" s="0" t="n">
        <f aca="false">1+B91</f>
        <v>90</v>
      </c>
      <c r="C92" s="2" t="n">
        <f aca="false">C91+D91</f>
        <v>4704809527.3783</v>
      </c>
      <c r="D92" s="2" t="n">
        <v>-327697.8282</v>
      </c>
      <c r="E92" s="2" t="n">
        <f aca="false">D91+E91</f>
        <v>-221632650.4969</v>
      </c>
      <c r="O92" s="0" t="n">
        <f aca="false">LN(C92)</f>
        <v>22.2718511261416</v>
      </c>
      <c r="P92" s="0" t="n">
        <f aca="false">O92-O91</f>
        <v>-1.17092460065749E-005</v>
      </c>
    </row>
    <row r="93" customFormat="false" ht="12.8" hidden="false" customHeight="false" outlineLevel="0" collapsed="false">
      <c r="B93" s="0" t="n">
        <f aca="false">1+B92</f>
        <v>91</v>
      </c>
      <c r="C93" s="2" t="n">
        <f aca="false">C92+D92</f>
        <v>4704481829.5501</v>
      </c>
      <c r="D93" s="2" t="n">
        <v>-7977.8826</v>
      </c>
      <c r="E93" s="2" t="n">
        <f aca="false">D92+E92</f>
        <v>-221960348.3251</v>
      </c>
      <c r="O93" s="0" t="n">
        <f aca="false">LN(C93)</f>
        <v>22.2717814720485</v>
      </c>
      <c r="P93" s="0" t="n">
        <f aca="false">O93-O92</f>
        <v>-6.96540931528489E-005</v>
      </c>
    </row>
    <row r="94" customFormat="false" ht="12.8" hidden="false" customHeight="false" outlineLevel="0" collapsed="false">
      <c r="B94" s="0" t="n">
        <f aca="false">1+B93</f>
        <v>92</v>
      </c>
      <c r="C94" s="2" t="n">
        <f aca="false">C93+D93</f>
        <v>4704473851.6675</v>
      </c>
      <c r="D94" s="2" t="n">
        <v>-62930.8024</v>
      </c>
      <c r="E94" s="2" t="n">
        <f aca="false">D93+E93</f>
        <v>-221968326.2077</v>
      </c>
      <c r="O94" s="0" t="n">
        <f aca="false">LN(C94)</f>
        <v>22.2717797762423</v>
      </c>
      <c r="P94" s="0" t="n">
        <f aca="false">O94-O93</f>
        <v>-1.69580617992438E-006</v>
      </c>
    </row>
    <row r="95" customFormat="false" ht="12.8" hidden="false" customHeight="false" outlineLevel="0" collapsed="false">
      <c r="B95" s="0" t="n">
        <f aca="false">1+B94</f>
        <v>93</v>
      </c>
      <c r="C95" s="2" t="n">
        <f aca="false">C94+D94</f>
        <v>4704410920.8651</v>
      </c>
      <c r="D95" s="2" t="n">
        <v>-10395.7249</v>
      </c>
      <c r="E95" s="2" t="n">
        <f aca="false">D94+E94</f>
        <v>-222031257.0101</v>
      </c>
      <c r="O95" s="0" t="n">
        <f aca="false">LN(C95)</f>
        <v>22.2717663993535</v>
      </c>
      <c r="P95" s="0" t="n">
        <f aca="false">O95-O94</f>
        <v>-1.33768887415897E-005</v>
      </c>
    </row>
    <row r="96" customFormat="false" ht="12.8" hidden="false" customHeight="false" outlineLevel="0" collapsed="false">
      <c r="B96" s="0" t="n">
        <f aca="false">1+B95</f>
        <v>94</v>
      </c>
      <c r="C96" s="2" t="n">
        <f aca="false">C95+D95</f>
        <v>4704400525.1402</v>
      </c>
      <c r="D96" s="2" t="n">
        <v>-4330.0059</v>
      </c>
      <c r="E96" s="2" t="n">
        <f aca="false">D95+E95</f>
        <v>-222041652.735</v>
      </c>
      <c r="O96" s="0" t="n">
        <f aca="false">LN(C96)</f>
        <v>22.2717641895686</v>
      </c>
      <c r="P96" s="0" t="n">
        <f aca="false">O96-O95</f>
        <v>-2.20978493814528E-006</v>
      </c>
    </row>
    <row r="97" customFormat="false" ht="12.8" hidden="false" customHeight="false" outlineLevel="0" collapsed="false">
      <c r="B97" s="0" t="n">
        <f aca="false">1+B96</f>
        <v>95</v>
      </c>
      <c r="C97" s="2" t="n">
        <f aca="false">C96+D96</f>
        <v>4704396195.1343</v>
      </c>
      <c r="D97" s="2" t="n">
        <v>-5274.1997</v>
      </c>
      <c r="E97" s="2" t="n">
        <f aca="false">D96+E96</f>
        <v>-222045982.7409</v>
      </c>
      <c r="O97" s="0" t="n">
        <f aca="false">LN(C97)</f>
        <v>22.2717632691521</v>
      </c>
      <c r="P97" s="0" t="n">
        <f aca="false">O97-O96</f>
        <v>-9.20416503902288E-007</v>
      </c>
    </row>
    <row r="98" customFormat="false" ht="12.8" hidden="false" customHeight="false" outlineLevel="0" collapsed="false">
      <c r="B98" s="0" t="n">
        <f aca="false">1+B97</f>
        <v>96</v>
      </c>
      <c r="C98" s="2" t="n">
        <f aca="false">C97+D97</f>
        <v>4704390920.9346</v>
      </c>
      <c r="D98" s="2" t="n">
        <v>0</v>
      </c>
      <c r="E98" s="2" t="n">
        <f aca="false">D97+E97</f>
        <v>-222051256.9406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2026-06-29T16:27:23Z</dcterms:created>
  <dc:creator/>
  <dc:description/>
  <dc:language>en-US</dc:language>
  <cp:lastModifiedBy/>
  <dcterms:modified xsi:type="dcterms:W3CDTF">2026-06-30T09:30:05Z</dcterms:modified>
  <cp:revision>7</cp:revision>
  <dc:subject/>
  <dc:title/>
</cp:coreProperties>
</file>