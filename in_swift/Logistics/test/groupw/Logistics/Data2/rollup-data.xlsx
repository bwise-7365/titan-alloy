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Rqrts" sheetId="1" state="visible" r:id="rId3"/>
    <sheet name="Dispatchers" sheetId="2" state="visible" r:id="rId4"/>
    <sheet name="scratch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<sst xmlns="http://schemas.openxmlformats.org/spreadsheetml/2006/main" count="49" uniqueCount="38">
  <si>
    <t xml:space="preserve">UnitType</t>
  </si>
  <si>
    <t xml:space="preserve">Posture</t>
  </si>
  <si>
    <t xml:space="preserve">FuelGallon</t>
  </si>
  <si>
    <t xml:space="preserve">AmmoCase</t>
  </si>
  <si>
    <t xml:space="preserve">WaterGallon</t>
  </si>
  <si>
    <t xml:space="preserve">MREPallet</t>
  </si>
  <si>
    <t xml:space="preserve">InfantryBN</t>
  </si>
  <si>
    <t xml:space="preserve">Engaged</t>
  </si>
  <si>
    <t xml:space="preserve">Unengaged</t>
  </si>
  <si>
    <t xml:space="preserve">InfantryBDE</t>
  </si>
  <si>
    <t xml:space="preserve">SupplyCO</t>
  </si>
  <si>
    <t xml:space="preserve">Four unengaged Inf BN</t>
  </si>
  <si>
    <t xml:space="preserve">Four unengaged Inf Bde</t>
  </si>
  <si>
    <t xml:space="preserve">Eight unengaged Supply CO</t>
  </si>
  <si>
    <t xml:space="preserve">Organizational Total</t>
  </si>
  <si>
    <t xml:space="preserve">This shows the rollup of ‘currentLevel’ for the dispatchers in Data2</t>
  </si>
  <si>
    <t xml:space="preserve">Root</t>
  </si>
  <si>
    <t xml:space="preserve">Supply-CO-1</t>
  </si>
  <si>
    <t xml:space="preserve">Central</t>
  </si>
  <si>
    <t xml:space="preserve">Supply-CO-1A</t>
  </si>
  <si>
    <t xml:space="preserve">Supply-CO-1B</t>
  </si>
  <si>
    <t xml:space="preserve">Supply-CO-1C</t>
  </si>
  <si>
    <t xml:space="preserve">Supply-CO-2A</t>
  </si>
  <si>
    <t xml:space="preserve">Supply-CO-3A</t>
  </si>
  <si>
    <t xml:space="preserve">SanJuan</t>
  </si>
  <si>
    <t xml:space="preserve">Supply-CO-2B</t>
  </si>
  <si>
    <t xml:space="preserve">Guadeloupe</t>
  </si>
  <si>
    <t xml:space="preserve">Supply-CO-3B</t>
  </si>
  <si>
    <t xml:space="preserve">West</t>
  </si>
  <si>
    <t xml:space="preserve">159 INF BN</t>
  </si>
  <si>
    <t xml:space="preserve">5 INF BDE</t>
  </si>
  <si>
    <t xml:space="preserve">373 INF BN</t>
  </si>
  <si>
    <t xml:space="preserve">12 INF BDE</t>
  </si>
  <si>
    <t xml:space="preserve">East</t>
  </si>
  <si>
    <t xml:space="preserve">7 INF BDE</t>
  </si>
  <si>
    <t xml:space="preserve">294 INF BN</t>
  </si>
  <si>
    <t xml:space="preserve">9 INF BDE</t>
  </si>
  <si>
    <t xml:space="preserve">413 INF BN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</si>
</sst>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0"/>
    <numFmt numFmtId="166" formatCode="0.00000"/>
    <numFmt numFmtId="167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12762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FFFFD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16.6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2" t="n">
        <v>6450.13</v>
      </c>
      <c r="D2" s="2" t="n">
        <v>2272</v>
      </c>
      <c r="E2" s="2" t="n">
        <v>2120</v>
      </c>
      <c r="F2" s="2" t="n">
        <v>3.65</v>
      </c>
    </row>
    <row r="3" customFormat="false" ht="12.8" hidden="false" customHeight="false" outlineLevel="0" collapsed="false">
      <c r="A3" s="3" t="s">
        <v>6</v>
      </c>
      <c r="B3" s="3" t="s">
        <v>8</v>
      </c>
      <c r="C3" s="4" t="n">
        <v>6300.42</v>
      </c>
      <c r="D3" s="4" t="n">
        <v>0</v>
      </c>
      <c r="E3" s="4" t="n">
        <v>1060</v>
      </c>
      <c r="F3" s="4" t="n">
        <v>3.65</v>
      </c>
    </row>
    <row r="4" customFormat="false" ht="12.8" hidden="false" customHeight="false" outlineLevel="0" collapsed="false">
      <c r="A4" s="0" t="s">
        <v>9</v>
      </c>
      <c r="B4" s="0" t="s">
        <v>7</v>
      </c>
      <c r="C4" s="5" t="n">
        <v>36856.3</v>
      </c>
      <c r="D4" s="5" t="n">
        <v>12982.7</v>
      </c>
      <c r="E4" s="5" t="n">
        <v>12114.2</v>
      </c>
      <c r="F4" s="5" t="n">
        <v>20.83</v>
      </c>
    </row>
    <row r="5" customFormat="false" ht="12.8" hidden="false" customHeight="false" outlineLevel="0" collapsed="false">
      <c r="A5" s="6" t="s">
        <v>9</v>
      </c>
      <c r="B5" s="6" t="s">
        <v>8</v>
      </c>
      <c r="C5" s="7" t="n">
        <v>36000</v>
      </c>
      <c r="D5" s="7" t="n">
        <v>0</v>
      </c>
      <c r="E5" s="7" t="n">
        <v>6057.1</v>
      </c>
      <c r="F5" s="7" t="n">
        <v>20.83</v>
      </c>
    </row>
    <row r="6" customFormat="false" ht="12.8" hidden="false" customHeight="false" outlineLevel="0" collapsed="false">
      <c r="A6" s="1" t="s">
        <v>10</v>
      </c>
      <c r="B6" s="1" t="s">
        <v>7</v>
      </c>
      <c r="C6" s="2" t="n">
        <v>2150</v>
      </c>
      <c r="D6" s="2" t="n">
        <v>757.33</v>
      </c>
      <c r="E6" s="2" t="n">
        <v>706.67</v>
      </c>
      <c r="F6" s="2" t="n">
        <v>1.22</v>
      </c>
    </row>
    <row r="7" customFormat="false" ht="12.8" hidden="false" customHeight="false" outlineLevel="0" collapsed="false">
      <c r="A7" s="3" t="s">
        <v>10</v>
      </c>
      <c r="B7" s="3" t="s">
        <v>8</v>
      </c>
      <c r="C7" s="4" t="n">
        <v>2100</v>
      </c>
      <c r="D7" s="4" t="n">
        <v>0</v>
      </c>
      <c r="E7" s="4" t="n">
        <v>353.33</v>
      </c>
      <c r="F7" s="4" t="n">
        <v>1.22</v>
      </c>
    </row>
    <row r="8" customFormat="false" ht="12.8" hidden="false" customHeight="false" outlineLevel="0" collapsed="false">
      <c r="C8" s="5"/>
      <c r="D8" s="5"/>
      <c r="E8" s="5"/>
      <c r="F8" s="5"/>
    </row>
    <row r="9" customFormat="false" ht="12.8" hidden="false" customHeight="false" outlineLevel="0" collapsed="false">
      <c r="C9" s="5"/>
      <c r="D9" s="5"/>
      <c r="E9" s="5"/>
      <c r="F9" s="5"/>
    </row>
    <row r="10" customFormat="false" ht="12.8" hidden="false" customHeight="false" outlineLevel="0" collapsed="false">
      <c r="C10" s="5"/>
      <c r="D10" s="5"/>
      <c r="E10" s="5"/>
      <c r="F10" s="5"/>
    </row>
    <row r="11" customFormat="false" ht="12.8" hidden="false" customHeight="false" outlineLevel="0" collapsed="false">
      <c r="C11" s="5"/>
      <c r="D11" s="5"/>
      <c r="E11" s="5"/>
      <c r="F11" s="5"/>
    </row>
    <row r="12" customFormat="false" ht="12.8" hidden="false" customHeight="false" outlineLevel="0" collapsed="false">
      <c r="A12" s="8" t="s">
        <v>11</v>
      </c>
      <c r="B12" s="8"/>
      <c r="C12" s="2" t="n">
        <f aca="false">4*C3</f>
        <v>25201.68</v>
      </c>
      <c r="D12" s="2" t="n">
        <f aca="false">4*D3</f>
        <v>0</v>
      </c>
      <c r="E12" s="2" t="n">
        <f aca="false">4*E3</f>
        <v>4240</v>
      </c>
      <c r="F12" s="2" t="n">
        <f aca="false">4*F3</f>
        <v>14.6</v>
      </c>
    </row>
    <row r="13" customFormat="false" ht="12.8" hidden="false" customHeight="false" outlineLevel="0" collapsed="false">
      <c r="A13" s="9" t="s">
        <v>12</v>
      </c>
      <c r="B13" s="9"/>
      <c r="C13" s="5" t="n">
        <f aca="false">4*C5</f>
        <v>144000</v>
      </c>
      <c r="D13" s="5" t="n">
        <f aca="false">4*D5</f>
        <v>0</v>
      </c>
      <c r="E13" s="5" t="n">
        <f aca="false">4*E5</f>
        <v>24228.4</v>
      </c>
      <c r="F13" s="5" t="n">
        <f aca="false">4*F5</f>
        <v>83.32</v>
      </c>
    </row>
    <row r="14" customFormat="false" ht="12.8" hidden="false" customHeight="false" outlineLevel="0" collapsed="false">
      <c r="A14" s="8" t="s">
        <v>13</v>
      </c>
      <c r="B14" s="8"/>
      <c r="C14" s="2" t="n">
        <f aca="false">8*C7</f>
        <v>16800</v>
      </c>
      <c r="D14" s="2" t="n">
        <f aca="false">8*D7</f>
        <v>0</v>
      </c>
      <c r="E14" s="2" t="n">
        <f aca="false">8*E7</f>
        <v>2826.64</v>
      </c>
      <c r="F14" s="2" t="n">
        <f aca="false">8*F7</f>
        <v>9.76</v>
      </c>
    </row>
    <row r="15" customFormat="false" ht="12.8" hidden="false" customHeight="false" outlineLevel="0" collapsed="false">
      <c r="C15" s="5"/>
      <c r="D15" s="5"/>
      <c r="E15" s="5"/>
      <c r="F15" s="5"/>
    </row>
    <row r="16" customFormat="false" ht="12.8" hidden="false" customHeight="false" outlineLevel="0" collapsed="false">
      <c r="A16" s="10" t="s">
        <v>14</v>
      </c>
      <c r="B16" s="10"/>
      <c r="C16" s="11" t="n">
        <f aca="false">SUM(C12:C14)</f>
        <v>186001.68</v>
      </c>
      <c r="D16" s="11" t="n">
        <f aca="false">SUM(D12:D14)</f>
        <v>0</v>
      </c>
      <c r="E16" s="11" t="n">
        <f aca="false">SUM(E12:E14)</f>
        <v>31295.04</v>
      </c>
      <c r="F16" s="11" t="n">
        <f aca="false">SUM(F12:F14)</f>
        <v>107.68</v>
      </c>
    </row>
    <row r="18" customFormat="false" ht="12.8" hidden="false" customHeight="false" outlineLevel="0" collapsed="false">
      <c r="C18" s="0" t="n">
        <v>1393513.44</v>
      </c>
      <c r="E18" s="0" t="n">
        <v>234460.47</v>
      </c>
      <c r="F18" s="0" t="n">
        <v>806.54</v>
      </c>
    </row>
    <row r="20" customFormat="false" ht="12.8" hidden="false" customHeight="false" outlineLevel="0" collapsed="false">
      <c r="C20" s="12" t="n">
        <f aca="false">C18/C16</f>
        <v>7.49194007279934</v>
      </c>
      <c r="E20" s="12" t="n">
        <f aca="false">E18/E16</f>
        <v>7.49193706095279</v>
      </c>
      <c r="F20" s="12" t="n">
        <f aca="false">F18/F16</f>
        <v>7.49015601783061</v>
      </c>
    </row>
  </sheetData>
  <mergeCells count="4">
    <mergeCell ref="A12:B12"/>
    <mergeCell ref="A13:B13"/>
    <mergeCell ref="A14:B14"/>
    <mergeCell ref="A16:B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3" width="15.29"/>
  </cols>
  <sheetData>
    <row r="2" customFormat="false" ht="12.8" hidden="false" customHeight="true" outlineLevel="0" collapsed="false">
      <c r="B2" s="14" t="s">
        <v>15</v>
      </c>
      <c r="C2" s="14"/>
      <c r="D2" s="14"/>
      <c r="E2" s="14"/>
      <c r="F2" s="14"/>
    </row>
    <row r="4" customFormat="false" ht="12.8" hidden="false" customHeight="false" outlineLevel="0" collapsed="false">
      <c r="C4" s="15"/>
      <c r="D4" s="16" t="s">
        <v>2</v>
      </c>
      <c r="E4" s="15" t="s">
        <v>3</v>
      </c>
      <c r="F4" s="16" t="s">
        <v>4</v>
      </c>
      <c r="G4" s="15" t="s">
        <v>5</v>
      </c>
    </row>
    <row r="5" customFormat="false" ht="12.8" hidden="false" customHeight="false" outlineLevel="0" collapsed="false">
      <c r="C5" s="15"/>
      <c r="D5" s="16"/>
      <c r="E5" s="15"/>
      <c r="F5" s="16"/>
      <c r="G5" s="15"/>
    </row>
    <row r="6" customFormat="false" ht="12.8" hidden="false" customHeight="false" outlineLevel="0" collapsed="false">
      <c r="C6" s="15" t="s">
        <v>16</v>
      </c>
      <c r="D6" s="17" t="n">
        <f aca="false">D7+D10</f>
        <v>186001.68</v>
      </c>
      <c r="E6" s="18" t="n">
        <f aca="false">E7+E10</f>
        <v>0</v>
      </c>
      <c r="F6" s="17" t="n">
        <f aca="false">F7+F10</f>
        <v>31295.04</v>
      </c>
      <c r="G6" s="18" t="n">
        <f aca="false">G7+G10</f>
        <v>107.68</v>
      </c>
    </row>
    <row r="7" customFormat="false" ht="12.8" hidden="false" customHeight="false" outlineLevel="0" collapsed="false">
      <c r="C7" s="15" t="s">
        <v>17</v>
      </c>
      <c r="D7" s="19" t="n">
        <v>2100</v>
      </c>
      <c r="E7" s="20" t="n">
        <v>0</v>
      </c>
      <c r="F7" s="19" t="n">
        <v>353.33</v>
      </c>
      <c r="G7" s="20" t="n">
        <v>1.22</v>
      </c>
    </row>
    <row r="8" customFormat="false" ht="12.8" hidden="false" customHeight="false" outlineLevel="0" collapsed="false">
      <c r="C8" s="15"/>
      <c r="D8" s="19"/>
      <c r="E8" s="20"/>
      <c r="F8" s="19"/>
      <c r="G8" s="20"/>
    </row>
    <row r="9" customFormat="false" ht="12.8" hidden="false" customHeight="false" outlineLevel="0" collapsed="false">
      <c r="C9" s="15"/>
      <c r="D9" s="19"/>
      <c r="E9" s="20"/>
      <c r="F9" s="19"/>
      <c r="G9" s="20"/>
    </row>
    <row r="10" customFormat="false" ht="12.8" hidden="false" customHeight="false" outlineLevel="0" collapsed="false">
      <c r="C10" s="15" t="s">
        <v>18</v>
      </c>
      <c r="D10" s="17" t="n">
        <f aca="false">SUM(D11:D15)+D19+D23</f>
        <v>183901.68</v>
      </c>
      <c r="E10" s="18" t="n">
        <f aca="false">SUM(E11:E15)+E19+E23</f>
        <v>0</v>
      </c>
      <c r="F10" s="17" t="n">
        <f aca="false">SUM(F11:F15)+F19+F23</f>
        <v>30941.71</v>
      </c>
      <c r="G10" s="18" t="n">
        <f aca="false">SUM(G11:G15)+G19+G23</f>
        <v>106.46</v>
      </c>
    </row>
    <row r="11" customFormat="false" ht="12.8" hidden="false" customHeight="false" outlineLevel="0" collapsed="false">
      <c r="C11" s="15" t="s">
        <v>19</v>
      </c>
      <c r="D11" s="19" t="n">
        <v>2100</v>
      </c>
      <c r="E11" s="20" t="n">
        <v>0</v>
      </c>
      <c r="F11" s="19" t="n">
        <v>353.33</v>
      </c>
      <c r="G11" s="20" t="n">
        <v>1.22</v>
      </c>
    </row>
    <row r="12" customFormat="false" ht="12.8" hidden="false" customHeight="false" outlineLevel="0" collapsed="false">
      <c r="C12" s="15" t="s">
        <v>20</v>
      </c>
      <c r="D12" s="19" t="n">
        <v>2100</v>
      </c>
      <c r="E12" s="20" t="n">
        <v>0</v>
      </c>
      <c r="F12" s="19" t="n">
        <v>353.33</v>
      </c>
      <c r="G12" s="20" t="n">
        <v>1.22</v>
      </c>
    </row>
    <row r="13" customFormat="false" ht="12.8" hidden="false" customHeight="false" outlineLevel="0" collapsed="false">
      <c r="C13" s="15" t="s">
        <v>21</v>
      </c>
      <c r="D13" s="19" t="n">
        <v>2100</v>
      </c>
      <c r="E13" s="20" t="n">
        <v>0</v>
      </c>
      <c r="F13" s="19" t="n">
        <v>353.33</v>
      </c>
      <c r="G13" s="20" t="n">
        <v>1.22</v>
      </c>
    </row>
    <row r="14" customFormat="false" ht="12.8" hidden="false" customHeight="false" outlineLevel="0" collapsed="false">
      <c r="C14" s="15" t="s">
        <v>22</v>
      </c>
      <c r="D14" s="19" t="n">
        <v>2100</v>
      </c>
      <c r="E14" s="20" t="n">
        <v>0</v>
      </c>
      <c r="F14" s="19" t="n">
        <v>353.33</v>
      </c>
      <c r="G14" s="20" t="n">
        <v>1.22</v>
      </c>
    </row>
    <row r="15" customFormat="false" ht="12.8" hidden="false" customHeight="false" outlineLevel="0" collapsed="false">
      <c r="C15" s="15" t="s">
        <v>23</v>
      </c>
      <c r="D15" s="19" t="n">
        <v>2100</v>
      </c>
      <c r="E15" s="20" t="n">
        <v>0</v>
      </c>
      <c r="F15" s="19" t="n">
        <v>353.33</v>
      </c>
      <c r="G15" s="20" t="n">
        <v>1.22</v>
      </c>
    </row>
    <row r="16" customFormat="false" ht="12.8" hidden="false" customHeight="false" outlineLevel="0" collapsed="false">
      <c r="C16" s="15"/>
      <c r="D16" s="19"/>
      <c r="E16" s="20"/>
      <c r="F16" s="19"/>
      <c r="G16" s="20"/>
    </row>
    <row r="17" customFormat="false" ht="12.8" hidden="false" customHeight="false" outlineLevel="0" collapsed="false">
      <c r="C17" s="15"/>
      <c r="D17" s="19"/>
      <c r="E17" s="20"/>
      <c r="F17" s="19"/>
      <c r="G17" s="20"/>
    </row>
    <row r="18" customFormat="false" ht="12.8" hidden="false" customHeight="false" outlineLevel="0" collapsed="false">
      <c r="C18" s="15"/>
      <c r="D18" s="19"/>
      <c r="E18" s="20"/>
      <c r="F18" s="19"/>
      <c r="G18" s="20"/>
    </row>
    <row r="19" customFormat="false" ht="12.8" hidden="false" customHeight="false" outlineLevel="0" collapsed="false">
      <c r="C19" s="15" t="s">
        <v>24</v>
      </c>
      <c r="D19" s="17" t="n">
        <f aca="false">D20+D27</f>
        <v>86700.84</v>
      </c>
      <c r="E19" s="18" t="n">
        <f aca="false">E20+E27</f>
        <v>0</v>
      </c>
      <c r="F19" s="17" t="n">
        <f aca="false">F20+F27</f>
        <v>14587.53</v>
      </c>
      <c r="G19" s="18" t="n">
        <f aca="false">G20+G27</f>
        <v>50.18</v>
      </c>
    </row>
    <row r="20" customFormat="false" ht="12.8" hidden="false" customHeight="false" outlineLevel="0" collapsed="false">
      <c r="C20" s="15" t="s">
        <v>25</v>
      </c>
      <c r="D20" s="19" t="n">
        <v>2100</v>
      </c>
      <c r="E20" s="20" t="n">
        <v>0</v>
      </c>
      <c r="F20" s="19" t="n">
        <v>353.33</v>
      </c>
      <c r="G20" s="20" t="n">
        <v>1.22</v>
      </c>
    </row>
    <row r="21" customFormat="false" ht="12.8" hidden="false" customHeight="false" outlineLevel="0" collapsed="false">
      <c r="C21" s="15"/>
      <c r="D21" s="19"/>
      <c r="E21" s="20"/>
      <c r="F21" s="19"/>
      <c r="G21" s="20"/>
    </row>
    <row r="22" customFormat="false" ht="12.8" hidden="false" customHeight="false" outlineLevel="0" collapsed="false">
      <c r="C22" s="15"/>
      <c r="D22" s="19"/>
      <c r="E22" s="20"/>
      <c r="F22" s="19"/>
      <c r="G22" s="20"/>
    </row>
    <row r="23" customFormat="false" ht="12.8" hidden="false" customHeight="false" outlineLevel="0" collapsed="false">
      <c r="C23" s="15" t="s">
        <v>26</v>
      </c>
      <c r="D23" s="17" t="n">
        <f aca="false">D24+D35</f>
        <v>86700.84</v>
      </c>
      <c r="E23" s="18" t="n">
        <f aca="false">E24+E35</f>
        <v>0</v>
      </c>
      <c r="F23" s="17" t="n">
        <f aca="false">F24+F35</f>
        <v>14587.53</v>
      </c>
      <c r="G23" s="18" t="n">
        <f aca="false">G24+G35</f>
        <v>50.18</v>
      </c>
    </row>
    <row r="24" customFormat="false" ht="12.8" hidden="false" customHeight="false" outlineLevel="0" collapsed="false">
      <c r="C24" s="15" t="s">
        <v>27</v>
      </c>
      <c r="D24" s="19" t="n">
        <v>2100</v>
      </c>
      <c r="E24" s="20" t="n">
        <v>0</v>
      </c>
      <c r="F24" s="19" t="n">
        <v>353.33</v>
      </c>
      <c r="G24" s="20" t="n">
        <v>1.22</v>
      </c>
    </row>
    <row r="25" customFormat="false" ht="12.8" hidden="false" customHeight="false" outlineLevel="0" collapsed="false">
      <c r="C25" s="15"/>
      <c r="D25" s="19"/>
      <c r="E25" s="20"/>
      <c r="F25" s="19"/>
      <c r="G25" s="20"/>
    </row>
    <row r="26" customFormat="false" ht="12.8" hidden="false" customHeight="false" outlineLevel="0" collapsed="false">
      <c r="C26" s="15"/>
      <c r="D26" s="19"/>
      <c r="E26" s="20"/>
      <c r="F26" s="19"/>
      <c r="G26" s="20"/>
    </row>
    <row r="27" customFormat="false" ht="12.8" hidden="false" customHeight="false" outlineLevel="0" collapsed="false">
      <c r="C27" s="15" t="s">
        <v>28</v>
      </c>
      <c r="D27" s="17" t="n">
        <f aca="false">SUM(D28:D31)</f>
        <v>84600.84</v>
      </c>
      <c r="E27" s="18" t="n">
        <f aca="false">SUM(E28:E31)</f>
        <v>0</v>
      </c>
      <c r="F27" s="17" t="n">
        <f aca="false">SUM(F28:F31)</f>
        <v>14234.2</v>
      </c>
      <c r="G27" s="18" t="n">
        <f aca="false">SUM(G28:G31)</f>
        <v>48.96</v>
      </c>
    </row>
    <row r="28" customFormat="false" ht="12.8" hidden="false" customHeight="false" outlineLevel="0" collapsed="false">
      <c r="C28" s="15" t="s">
        <v>29</v>
      </c>
      <c r="D28" s="19" t="n">
        <v>6300.42</v>
      </c>
      <c r="E28" s="20" t="n">
        <v>0</v>
      </c>
      <c r="F28" s="19" t="n">
        <v>1060</v>
      </c>
      <c r="G28" s="20" t="n">
        <v>3.65</v>
      </c>
    </row>
    <row r="29" customFormat="false" ht="12.8" hidden="false" customHeight="false" outlineLevel="0" collapsed="false">
      <c r="C29" s="15" t="s">
        <v>30</v>
      </c>
      <c r="D29" s="19" t="n">
        <v>36000</v>
      </c>
      <c r="E29" s="20" t="n">
        <v>0</v>
      </c>
      <c r="F29" s="19" t="n">
        <v>6057.1</v>
      </c>
      <c r="G29" s="20" t="n">
        <v>20.83</v>
      </c>
    </row>
    <row r="30" customFormat="false" ht="12.8" hidden="false" customHeight="false" outlineLevel="0" collapsed="false">
      <c r="C30" s="15" t="s">
        <v>31</v>
      </c>
      <c r="D30" s="19" t="n">
        <v>6300.42</v>
      </c>
      <c r="E30" s="20" t="n">
        <v>0</v>
      </c>
      <c r="F30" s="19" t="n">
        <v>1060</v>
      </c>
      <c r="G30" s="20" t="n">
        <v>3.65</v>
      </c>
    </row>
    <row r="31" customFormat="false" ht="12.8" hidden="false" customHeight="false" outlineLevel="0" collapsed="false">
      <c r="C31" s="15" t="s">
        <v>32</v>
      </c>
      <c r="D31" s="19" t="n">
        <v>36000</v>
      </c>
      <c r="E31" s="20" t="n">
        <v>0</v>
      </c>
      <c r="F31" s="19" t="n">
        <v>6057.1</v>
      </c>
      <c r="G31" s="20" t="n">
        <v>20.83</v>
      </c>
    </row>
    <row r="32" customFormat="false" ht="12.8" hidden="false" customHeight="false" outlineLevel="0" collapsed="false">
      <c r="C32" s="15"/>
      <c r="D32" s="19"/>
      <c r="E32" s="20"/>
      <c r="F32" s="19"/>
      <c r="G32" s="20"/>
    </row>
    <row r="33" customFormat="false" ht="12.8" hidden="false" customHeight="false" outlineLevel="0" collapsed="false">
      <c r="C33" s="15"/>
      <c r="D33" s="19"/>
      <c r="E33" s="20"/>
      <c r="F33" s="19"/>
      <c r="G33" s="20"/>
    </row>
    <row r="34" customFormat="false" ht="12.8" hidden="false" customHeight="false" outlineLevel="0" collapsed="false">
      <c r="C34" s="15"/>
      <c r="D34" s="19"/>
      <c r="E34" s="20"/>
      <c r="F34" s="19"/>
      <c r="G34" s="20"/>
    </row>
    <row r="35" customFormat="false" ht="12.8" hidden="false" customHeight="false" outlineLevel="0" collapsed="false">
      <c r="C35" s="15" t="s">
        <v>33</v>
      </c>
      <c r="D35" s="17" t="n">
        <f aca="false">SUM(D36:D39)</f>
        <v>84600.84</v>
      </c>
      <c r="E35" s="18" t="n">
        <f aca="false">SUM(E36:E39)</f>
        <v>0</v>
      </c>
      <c r="F35" s="17" t="n">
        <f aca="false">SUM(F36:F39)</f>
        <v>14234.2</v>
      </c>
      <c r="G35" s="18" t="n">
        <f aca="false">SUM(G36:G39)</f>
        <v>48.96</v>
      </c>
    </row>
    <row r="36" customFormat="false" ht="12.8" hidden="false" customHeight="false" outlineLevel="0" collapsed="false">
      <c r="C36" s="15" t="s">
        <v>34</v>
      </c>
      <c r="D36" s="19" t="n">
        <v>36000</v>
      </c>
      <c r="E36" s="20" t="n">
        <v>0</v>
      </c>
      <c r="F36" s="19" t="n">
        <v>6057.1</v>
      </c>
      <c r="G36" s="20" t="n">
        <v>20.83</v>
      </c>
    </row>
    <row r="37" customFormat="false" ht="12.8" hidden="false" customHeight="false" outlineLevel="0" collapsed="false">
      <c r="C37" s="15" t="s">
        <v>35</v>
      </c>
      <c r="D37" s="19" t="n">
        <v>6300.42</v>
      </c>
      <c r="E37" s="20" t="n">
        <v>0</v>
      </c>
      <c r="F37" s="19" t="n">
        <v>1060</v>
      </c>
      <c r="G37" s="20" t="n">
        <v>3.65</v>
      </c>
    </row>
    <row r="38" customFormat="false" ht="12.8" hidden="false" customHeight="false" outlineLevel="0" collapsed="false">
      <c r="C38" s="15" t="s">
        <v>36</v>
      </c>
      <c r="D38" s="19" t="n">
        <v>36000</v>
      </c>
      <c r="E38" s="20" t="n">
        <v>0</v>
      </c>
      <c r="F38" s="19" t="n">
        <v>6057.1</v>
      </c>
      <c r="G38" s="20" t="n">
        <v>20.83</v>
      </c>
    </row>
    <row r="39" customFormat="false" ht="12.8" hidden="false" customHeight="false" outlineLevel="0" collapsed="false">
      <c r="C39" s="15" t="s">
        <v>37</v>
      </c>
      <c r="D39" s="19" t="n">
        <v>6300.42</v>
      </c>
      <c r="E39" s="20" t="n">
        <v>0</v>
      </c>
      <c r="F39" s="19" t="n">
        <v>1060</v>
      </c>
      <c r="G39" s="20" t="n">
        <v>3.65</v>
      </c>
    </row>
  </sheetData>
  <mergeCells count="1">
    <mergeCell ref="B2:F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customHeight="true" zeroHeight="false" outlineLevelRow="0" outlineLevelCol="0"/>
  <sheetData>
    <row r="3" customFormat="false" ht="12.8" hidden="false" customHeight="false" outlineLevel="0" collapsed="false">
      <c r="C3" s="0" t="n">
        <f aca="false">(99.14-1.22)/2</f>
        <v>48.96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2025-09-26T10:34:32Z</dcterms:created>
  <dc:creator/>
  <dc:description/>
  <dc:language>en-US</dc:language>
  <cp:lastModifiedBy/>
  <dcterms:modified xsi:type="dcterms:W3CDTF">2025-10-15T11:24:09Z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