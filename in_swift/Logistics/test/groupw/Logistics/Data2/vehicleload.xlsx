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leloa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<sst xmlns="http://schemas.openxmlformats.org/spreadsheetml/2006/main" count="80" uniqueCount="49">
  <si>
    <t xml:space="preserve">Name</t>
  </si>
  <si>
    <t xml:space="preserve">VehicleType</t>
  </si>
  <si>
    <t xml:space="preserve"> FuelGallon</t>
  </si>
  <si>
    <t xml:space="preserve"> AmmoCase</t>
  </si>
  <si>
    <t xml:space="preserve"> WaterGallon</t>
  </si>
  <si>
    <t xml:space="preserve"> MREPallet</t>
  </si>
  <si>
    <t xml:space="preserve">lbs</t>
  </si>
  <si>
    <t xml:space="preserve">tons</t>
  </si>
  <si>
    <t xml:space="preserve">11 TB A-11</t>
  </si>
  <si>
    <t xml:space="preserve">Truck-2Ton</t>
  </si>
  <si>
    <t xml:space="preserve">11 TB B-22</t>
  </si>
  <si>
    <t xml:space="preserve">11 TB C-33</t>
  </si>
  <si>
    <t xml:space="preserve">11 TB A-12</t>
  </si>
  <si>
    <t xml:space="preserve">11 TB B-21</t>
  </si>
  <si>
    <t xml:space="preserve">11 TB E-11</t>
  </si>
  <si>
    <t xml:space="preserve">Truck-10Ton</t>
  </si>
  <si>
    <t xml:space="preserve">11 TB E-12</t>
  </si>
  <si>
    <t xml:space="preserve">11 TB E-13</t>
  </si>
  <si>
    <t xml:space="preserve">11 TB E-14</t>
  </si>
  <si>
    <t xml:space="preserve">11 TB E-15</t>
  </si>
  <si>
    <t xml:space="preserve">317 AMC 1 AW</t>
  </si>
  <si>
    <t xml:space="preserve">FWA-Medium</t>
  </si>
  <si>
    <t xml:space="preserve">317 AMC 2 AW</t>
  </si>
  <si>
    <t xml:space="preserve">317 AMC 3 AW</t>
  </si>
  <si>
    <t xml:space="preserve">317 AMC 5 AW</t>
  </si>
  <si>
    <t xml:space="preserve">317 AMC 4 AW</t>
  </si>
  <si>
    <t xml:space="preserve">437 AMC 1 AW</t>
  </si>
  <si>
    <t xml:space="preserve">FWA-Large</t>
  </si>
  <si>
    <t xml:space="preserve">437 AMC 2 AW</t>
  </si>
  <si>
    <t xml:space="preserve">437 AMC 3 AW</t>
  </si>
  <si>
    <t xml:space="preserve">437 AMC 4 AW</t>
  </si>
  <si>
    <t xml:space="preserve">437 AMC 5 AW</t>
  </si>
  <si>
    <t xml:space="preserve">437 AMC 6 AW</t>
  </si>
  <si>
    <t xml:space="preserve">437 AMC 7 AW</t>
  </si>
  <si>
    <t xml:space="preserve">437 AMC 8 AW</t>
  </si>
  <si>
    <t xml:space="preserve">437 AMC 9 AW</t>
  </si>
  <si>
    <t xml:space="preserve">437 AMC 10 AW</t>
  </si>
  <si>
    <t xml:space="preserve">437 AMC 11 AW</t>
  </si>
  <si>
    <t xml:space="preserve">T-EPF-2</t>
  </si>
  <si>
    <t xml:space="preserve">Ship-Small</t>
  </si>
  <si>
    <t xml:space="preserve">T-EPF-4</t>
  </si>
  <si>
    <t xml:space="preserve">T-EPF-3</t>
  </si>
  <si>
    <t xml:space="preserve">T-EPF-5</t>
  </si>
  <si>
    <t xml:space="preserve">T-AKE-1</t>
  </si>
  <si>
    <t xml:space="preserve">Ship-Medium</t>
  </si>
  <si>
    <t xml:space="preserve">T-AKE-2</t>
  </si>
  <si>
    <t xml:space="preserve">T-AKE-3</t>
  </si>
  <si>
    <t xml:space="preserve">T-AKE-4</t>
  </si>
  <si>
    <t xml:space="preserve">T-AKE-5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</si>
</sst>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06"/>
    <col collapsed="false" customWidth="true" hidden="false" outlineLevel="0" max="3" min="3" style="1" width="10.76"/>
    <col collapsed="false" customWidth="true" hidden="false" outlineLevel="0" max="5" min="5" style="1" width="12.01"/>
    <col collapsed="false" customWidth="true" hidden="false" outlineLevel="0" max="6" min="6" style="1" width="10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J1" s="1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2" t="n">
        <v>588</v>
      </c>
      <c r="D2" s="2" t="n">
        <v>0</v>
      </c>
      <c r="E2" s="2" t="n">
        <v>0</v>
      </c>
      <c r="F2" s="2" t="n">
        <v>0</v>
      </c>
      <c r="G2" s="2"/>
      <c r="H2" s="2"/>
      <c r="I2" s="3" t="n">
        <f aca="false">6.8*C2+29*D2+8.34*E2+1098*F2</f>
        <v>3998.4</v>
      </c>
      <c r="J2" s="3" t="n">
        <f aca="false">I2/2000</f>
        <v>1.9992</v>
      </c>
    </row>
    <row r="3" customFormat="false" ht="12.8" hidden="false" customHeight="false" outlineLevel="0" collapsed="false">
      <c r="A3" s="2" t="s">
        <v>10</v>
      </c>
      <c r="B3" s="2" t="s">
        <v>9</v>
      </c>
      <c r="C3" s="2" t="n">
        <v>0</v>
      </c>
      <c r="D3" s="2" t="n">
        <v>140</v>
      </c>
      <c r="E3" s="2" t="n">
        <v>0</v>
      </c>
      <c r="F3" s="2" t="n">
        <v>0</v>
      </c>
      <c r="G3" s="2"/>
      <c r="H3" s="2"/>
      <c r="I3" s="3" t="n">
        <f aca="false">6.8*C3+29*D3+8.34*E3+1098*F3</f>
        <v>4060</v>
      </c>
      <c r="J3" s="3" t="n">
        <f aca="false">I3/2000</f>
        <v>2.03</v>
      </c>
    </row>
    <row r="4" customFormat="false" ht="12.8" hidden="false" customHeight="false" outlineLevel="0" collapsed="false">
      <c r="A4" s="2" t="s">
        <v>11</v>
      </c>
      <c r="B4" s="2" t="s">
        <v>9</v>
      </c>
      <c r="C4" s="2" t="n">
        <v>0</v>
      </c>
      <c r="D4" s="2" t="n">
        <v>0</v>
      </c>
      <c r="E4" s="2" t="n">
        <v>480</v>
      </c>
      <c r="F4" s="2" t="n">
        <v>0</v>
      </c>
      <c r="G4" s="2"/>
      <c r="H4" s="2"/>
      <c r="I4" s="3" t="n">
        <f aca="false">6.8*C4+29*D4+8.34*E4+1098*F4</f>
        <v>4003.2</v>
      </c>
      <c r="J4" s="3" t="n">
        <f aca="false">I4/2000</f>
        <v>2.0016</v>
      </c>
    </row>
    <row r="5" customFormat="false" ht="12.8" hidden="false" customHeight="false" outlineLevel="0" collapsed="false">
      <c r="A5" s="2" t="s">
        <v>12</v>
      </c>
      <c r="B5" s="2" t="s">
        <v>9</v>
      </c>
      <c r="C5" s="2" t="n">
        <v>0</v>
      </c>
      <c r="D5" s="2" t="n">
        <v>0</v>
      </c>
      <c r="E5" s="2" t="n">
        <v>0</v>
      </c>
      <c r="F5" s="2" t="n">
        <v>3.7</v>
      </c>
      <c r="G5" s="2"/>
      <c r="H5" s="2"/>
      <c r="I5" s="3" t="n">
        <f aca="false">6.8*C5+29*D5+8.34*E5+1098*F5</f>
        <v>4062.6</v>
      </c>
      <c r="J5" s="3" t="n">
        <f aca="false">I5/2000</f>
        <v>2.0313</v>
      </c>
      <c r="L5" s="1"/>
    </row>
    <row r="6" customFormat="false" ht="12.8" hidden="false" customHeight="false" outlineLevel="0" collapsed="false">
      <c r="A6" s="2" t="s">
        <v>13</v>
      </c>
      <c r="B6" s="2" t="s">
        <v>9</v>
      </c>
      <c r="C6" s="2" t="n">
        <v>0</v>
      </c>
      <c r="D6" s="2" t="n">
        <v>70</v>
      </c>
      <c r="E6" s="2" t="n">
        <v>0</v>
      </c>
      <c r="F6" s="2" t="n">
        <v>1.8</v>
      </c>
      <c r="G6" s="2"/>
      <c r="H6" s="2"/>
      <c r="I6" s="3" t="n">
        <f aca="false">6.8*C6+29*D6+8.34*E6+1098*F6</f>
        <v>4006.4</v>
      </c>
      <c r="J6" s="3" t="n">
        <f aca="false">I6/2000</f>
        <v>2.0032</v>
      </c>
    </row>
    <row r="7" customFormat="false" ht="12.8" hidden="false" customHeight="false" outlineLevel="0" collapsed="false">
      <c r="A7" s="4" t="s">
        <v>14</v>
      </c>
      <c r="B7" s="4" t="s">
        <v>15</v>
      </c>
      <c r="C7" s="4" t="n">
        <v>2941</v>
      </c>
      <c r="D7" s="4" t="n">
        <v>0</v>
      </c>
      <c r="E7" s="4" t="n">
        <v>0</v>
      </c>
      <c r="F7" s="4" t="n">
        <v>0</v>
      </c>
      <c r="G7" s="4"/>
      <c r="H7" s="4"/>
      <c r="I7" s="5" t="n">
        <f aca="false">6.8*C7+29*D7+8.34*E7+1098*F7</f>
        <v>19998.8</v>
      </c>
      <c r="J7" s="5" t="n">
        <f aca="false">I7/2000</f>
        <v>9.9994</v>
      </c>
    </row>
    <row r="8" customFormat="false" ht="12.8" hidden="false" customHeight="false" outlineLevel="0" collapsed="false">
      <c r="A8" s="4" t="s">
        <v>16</v>
      </c>
      <c r="B8" s="1" t="s">
        <v>15</v>
      </c>
      <c r="C8" s="1" t="n">
        <v>0</v>
      </c>
      <c r="D8" s="1" t="n">
        <v>690</v>
      </c>
      <c r="E8" s="1" t="n">
        <v>0</v>
      </c>
      <c r="F8" s="1" t="n">
        <v>0</v>
      </c>
      <c r="I8" s="6" t="n">
        <f aca="false">6.8*C8+29*D8+8.34*E8+1098*F8</f>
        <v>20010</v>
      </c>
      <c r="J8" s="5" t="n">
        <f aca="false">I8/2000</f>
        <v>10.005</v>
      </c>
    </row>
    <row r="9" customFormat="false" ht="12.8" hidden="false" customHeight="false" outlineLevel="0" collapsed="false">
      <c r="A9" s="4" t="s">
        <v>17</v>
      </c>
      <c r="B9" s="1" t="s">
        <v>15</v>
      </c>
      <c r="C9" s="1" t="n">
        <v>0</v>
      </c>
      <c r="D9" s="1" t="n">
        <v>0</v>
      </c>
      <c r="E9" s="1" t="n">
        <v>2400</v>
      </c>
      <c r="F9" s="1" t="n">
        <v>0</v>
      </c>
      <c r="I9" s="6" t="n">
        <f aca="false">6.8*C9+29*D9+8.34*E9+1098*F9</f>
        <v>20016</v>
      </c>
      <c r="J9" s="5" t="n">
        <f aca="false">I9/2000</f>
        <v>10.008</v>
      </c>
    </row>
    <row r="10" customFormat="false" ht="12.8" hidden="false" customHeight="false" outlineLevel="0" collapsed="false">
      <c r="A10" s="4" t="s">
        <v>18</v>
      </c>
      <c r="B10" s="1" t="s">
        <v>15</v>
      </c>
      <c r="C10" s="1" t="n">
        <v>0</v>
      </c>
      <c r="D10" s="1" t="n">
        <v>0</v>
      </c>
      <c r="E10" s="1" t="n">
        <v>0</v>
      </c>
      <c r="F10" s="1" t="n">
        <v>18</v>
      </c>
      <c r="I10" s="6" t="n">
        <f aca="false">6.8*C10+29*D10+8.34*E10+1098*F10</f>
        <v>19764</v>
      </c>
      <c r="J10" s="5" t="n">
        <f aca="false">I10/2000</f>
        <v>9.882</v>
      </c>
    </row>
    <row r="11" customFormat="false" ht="12.8" hidden="false" customHeight="false" outlineLevel="0" collapsed="false">
      <c r="A11" s="4" t="s">
        <v>19</v>
      </c>
      <c r="B11" s="4" t="s">
        <v>15</v>
      </c>
      <c r="C11" s="4" t="n">
        <v>0</v>
      </c>
      <c r="D11" s="4" t="n">
        <v>337.5</v>
      </c>
      <c r="E11" s="4" t="n">
        <v>0</v>
      </c>
      <c r="F11" s="4" t="n">
        <v>8.7</v>
      </c>
      <c r="G11" s="4"/>
      <c r="H11" s="4"/>
      <c r="I11" s="5" t="n">
        <f aca="false">6.8*C11+29*D11+8.34*E11+1098*F11</f>
        <v>19340.1</v>
      </c>
      <c r="J11" s="5" t="n">
        <f aca="false">I11/2000</f>
        <v>9.67005</v>
      </c>
    </row>
    <row r="12" customFormat="false" ht="12.8" hidden="false" customHeight="false" outlineLevel="0" collapsed="false">
      <c r="A12" s="2" t="s">
        <v>20</v>
      </c>
      <c r="B12" s="2" t="s">
        <v>21</v>
      </c>
      <c r="C12" s="2" t="n">
        <v>2941</v>
      </c>
      <c r="D12" s="2" t="n">
        <v>0</v>
      </c>
      <c r="E12" s="2" t="n">
        <v>0</v>
      </c>
      <c r="F12" s="2" t="n">
        <v>0</v>
      </c>
      <c r="G12" s="2"/>
      <c r="H12" s="2"/>
      <c r="I12" s="7" t="n">
        <f aca="false">6.8*C12+29*D12+8.34*E12+1098*F12</f>
        <v>19998.8</v>
      </c>
      <c r="J12" s="7" t="n">
        <f aca="false">I12/2000</f>
        <v>9.9994</v>
      </c>
    </row>
    <row r="13" customFormat="false" ht="12.8" hidden="false" customHeight="false" outlineLevel="0" collapsed="false">
      <c r="A13" s="2" t="s">
        <v>22</v>
      </c>
      <c r="B13" s="2" t="s">
        <v>21</v>
      </c>
      <c r="C13" s="2" t="n">
        <v>0</v>
      </c>
      <c r="D13" s="2" t="n">
        <v>690</v>
      </c>
      <c r="E13" s="2" t="n">
        <v>0</v>
      </c>
      <c r="F13" s="2" t="n">
        <v>0</v>
      </c>
      <c r="G13" s="2"/>
      <c r="H13" s="2"/>
      <c r="I13" s="7" t="n">
        <f aca="false">6.8*C13+29*D13+8.34*E13+1098*F13</f>
        <v>20010</v>
      </c>
      <c r="J13" s="7" t="n">
        <f aca="false">I13/2000</f>
        <v>10.005</v>
      </c>
    </row>
    <row r="14" customFormat="false" ht="12.8" hidden="false" customHeight="false" outlineLevel="0" collapsed="false">
      <c r="A14" s="2" t="s">
        <v>23</v>
      </c>
      <c r="B14" s="2" t="s">
        <v>21</v>
      </c>
      <c r="C14" s="2" t="n">
        <v>0</v>
      </c>
      <c r="D14" s="2" t="n">
        <v>0</v>
      </c>
      <c r="E14" s="2" t="n">
        <v>2400</v>
      </c>
      <c r="F14" s="2" t="n">
        <v>0</v>
      </c>
      <c r="G14" s="2"/>
      <c r="H14" s="2"/>
      <c r="I14" s="7" t="n">
        <f aca="false">6.8*C14+29*D14+8.34*E14+1098*F14</f>
        <v>20016</v>
      </c>
      <c r="J14" s="7" t="n">
        <f aca="false">I14/2000</f>
        <v>10.008</v>
      </c>
    </row>
    <row r="15" customFormat="false" ht="12.8" hidden="false" customHeight="false" outlineLevel="0" collapsed="false">
      <c r="A15" s="2" t="s">
        <v>24</v>
      </c>
      <c r="B15" s="2" t="s">
        <v>21</v>
      </c>
      <c r="C15" s="2" t="n">
        <v>0</v>
      </c>
      <c r="D15" s="2" t="n">
        <v>0</v>
      </c>
      <c r="E15" s="2" t="n">
        <v>0</v>
      </c>
      <c r="F15" s="2" t="n">
        <v>18</v>
      </c>
      <c r="G15" s="2"/>
      <c r="H15" s="2"/>
      <c r="I15" s="7" t="n">
        <f aca="false">6.8*C15+29*D15+8.34*E15+1098*F15</f>
        <v>19764</v>
      </c>
      <c r="J15" s="7" t="n">
        <f aca="false">I15/2000</f>
        <v>9.882</v>
      </c>
    </row>
    <row r="16" customFormat="false" ht="12.8" hidden="false" customHeight="false" outlineLevel="0" collapsed="false">
      <c r="A16" s="2" t="s">
        <v>25</v>
      </c>
      <c r="B16" s="2" t="s">
        <v>21</v>
      </c>
      <c r="C16" s="2" t="n">
        <v>0</v>
      </c>
      <c r="D16" s="2" t="n">
        <v>337.5</v>
      </c>
      <c r="E16" s="2" t="n">
        <v>0</v>
      </c>
      <c r="F16" s="2" t="n">
        <v>8.7</v>
      </c>
      <c r="G16" s="2"/>
      <c r="H16" s="2"/>
      <c r="I16" s="7" t="n">
        <f aca="false">6.8*C16+29*D16+8.34*E16+1098*F16</f>
        <v>19340.1</v>
      </c>
      <c r="J16" s="7" t="n">
        <f aca="false">I16/2000</f>
        <v>9.67005</v>
      </c>
    </row>
    <row r="17" customFormat="false" ht="12.8" hidden="false" customHeight="false" outlineLevel="0" collapsed="false">
      <c r="A17" s="1" t="s">
        <v>26</v>
      </c>
      <c r="B17" s="1" t="s">
        <v>27</v>
      </c>
      <c r="C17" s="1" t="n">
        <v>41325</v>
      </c>
      <c r="D17" s="1" t="n">
        <v>0</v>
      </c>
      <c r="E17" s="1" t="n">
        <v>0</v>
      </c>
      <c r="F17" s="1" t="n">
        <v>0</v>
      </c>
      <c r="I17" s="5" t="n">
        <f aca="false">6.8*C17+29*D17+8.34*E17+1098*F17</f>
        <v>281010</v>
      </c>
      <c r="J17" s="5" t="n">
        <f aca="false">I17/2000</f>
        <v>140.505</v>
      </c>
    </row>
    <row r="18" customFormat="false" ht="12.8" hidden="false" customHeight="false" outlineLevel="0" collapsed="false">
      <c r="A18" s="1" t="s">
        <v>28</v>
      </c>
      <c r="B18" s="1" t="s">
        <v>27</v>
      </c>
      <c r="C18" s="1" t="n">
        <v>0</v>
      </c>
      <c r="D18" s="1" t="n">
        <v>9700</v>
      </c>
      <c r="E18" s="1" t="n">
        <v>0</v>
      </c>
      <c r="F18" s="1" t="n">
        <v>0</v>
      </c>
      <c r="I18" s="5" t="n">
        <f aca="false">6.8*C18+29*D18+8.34*E18+1098*F18</f>
        <v>281300</v>
      </c>
      <c r="J18" s="5" t="n">
        <f aca="false">I18/2000</f>
        <v>140.65</v>
      </c>
    </row>
    <row r="19" customFormat="false" ht="12.8" hidden="false" customHeight="false" outlineLevel="0" collapsed="false">
      <c r="A19" s="1" t="s">
        <v>29</v>
      </c>
      <c r="B19" s="1" t="s">
        <v>27</v>
      </c>
      <c r="C19" s="1" t="n">
        <v>0</v>
      </c>
      <c r="D19" s="1" t="n">
        <v>0</v>
      </c>
      <c r="E19" s="1" t="n">
        <v>33700</v>
      </c>
      <c r="F19" s="1" t="n">
        <v>0</v>
      </c>
      <c r="I19" s="5" t="n">
        <f aca="false">6.8*C19+29*D19+8.34*E19+1098*F19</f>
        <v>281058</v>
      </c>
      <c r="J19" s="5" t="n">
        <f aca="false">I19/2000</f>
        <v>140.529</v>
      </c>
    </row>
    <row r="20" customFormat="false" ht="12.8" hidden="false" customHeight="false" outlineLevel="0" collapsed="false">
      <c r="A20" s="1" t="s">
        <v>30</v>
      </c>
      <c r="B20" s="1" t="s">
        <v>27</v>
      </c>
      <c r="C20" s="1" t="n">
        <v>0</v>
      </c>
      <c r="D20" s="1" t="n">
        <v>0</v>
      </c>
      <c r="E20" s="1" t="n">
        <v>0</v>
      </c>
      <c r="F20" s="1" t="n">
        <v>256</v>
      </c>
      <c r="I20" s="5" t="n">
        <f aca="false">6.8*C20+29*D20+8.34*E20+1098*F20</f>
        <v>281088</v>
      </c>
      <c r="J20" s="5" t="n">
        <f aca="false">I20/2000</f>
        <v>140.544</v>
      </c>
    </row>
    <row r="21" customFormat="false" ht="12.8" hidden="false" customHeight="false" outlineLevel="0" collapsed="false">
      <c r="A21" s="1" t="s">
        <v>31</v>
      </c>
      <c r="B21" s="1" t="s">
        <v>27</v>
      </c>
      <c r="C21" s="1" t="n">
        <v>20662</v>
      </c>
      <c r="D21" s="1" t="n">
        <v>4845</v>
      </c>
      <c r="E21" s="1" t="n">
        <v>0</v>
      </c>
      <c r="F21" s="1" t="n">
        <v>0</v>
      </c>
      <c r="I21" s="5" t="n">
        <f aca="false">6.8*C21+29*D21+8.34*E21+1098*F21</f>
        <v>281006.6</v>
      </c>
      <c r="J21" s="5" t="n">
        <f aca="false">I21/2000</f>
        <v>140.5033</v>
      </c>
    </row>
    <row r="22" customFormat="false" ht="12.8" hidden="false" customHeight="false" outlineLevel="0" collapsed="false">
      <c r="A22" s="1" t="s">
        <v>32</v>
      </c>
      <c r="B22" s="1" t="s">
        <v>27</v>
      </c>
      <c r="C22" s="1" t="n">
        <v>20662</v>
      </c>
      <c r="D22" s="1" t="n">
        <v>0</v>
      </c>
      <c r="E22" s="1" t="n">
        <v>16846</v>
      </c>
      <c r="F22" s="1" t="n">
        <v>0</v>
      </c>
      <c r="I22" s="5" t="n">
        <f aca="false">6.8*C22+29*D22+8.34*E22+1098*F22</f>
        <v>280997.24</v>
      </c>
      <c r="J22" s="5" t="n">
        <f aca="false">I22/2000</f>
        <v>140.49862</v>
      </c>
    </row>
    <row r="23" customFormat="false" ht="12.8" hidden="false" customHeight="false" outlineLevel="0" collapsed="false">
      <c r="A23" s="1" t="s">
        <v>33</v>
      </c>
      <c r="B23" s="1" t="s">
        <v>27</v>
      </c>
      <c r="C23" s="1" t="n">
        <v>20662</v>
      </c>
      <c r="D23" s="1" t="n">
        <v>0</v>
      </c>
      <c r="E23" s="1" t="n">
        <v>0</v>
      </c>
      <c r="F23" s="1" t="n">
        <v>128</v>
      </c>
      <c r="I23" s="5" t="n">
        <f aca="false">6.8*C23+29*D23+8.34*E23+1098*F23</f>
        <v>281045.6</v>
      </c>
      <c r="J23" s="5" t="n">
        <f aca="false">I23/2000</f>
        <v>140.5228</v>
      </c>
    </row>
    <row r="24" customFormat="false" ht="12.8" hidden="false" customHeight="false" outlineLevel="0" collapsed="false">
      <c r="A24" s="1" t="s">
        <v>34</v>
      </c>
      <c r="B24" s="1" t="s">
        <v>27</v>
      </c>
      <c r="C24" s="1" t="n">
        <v>0</v>
      </c>
      <c r="D24" s="1" t="n">
        <v>4845</v>
      </c>
      <c r="E24" s="1" t="n">
        <v>16846</v>
      </c>
      <c r="F24" s="1" t="n">
        <v>0</v>
      </c>
      <c r="I24" s="5" t="n">
        <f aca="false">6.8*C24+29*D24+8.34*E24+1098*F24</f>
        <v>281000.64</v>
      </c>
      <c r="J24" s="5" t="n">
        <f aca="false">I24/2000</f>
        <v>140.50032</v>
      </c>
    </row>
    <row r="25" customFormat="false" ht="12.8" hidden="false" customHeight="false" outlineLevel="0" collapsed="false">
      <c r="A25" s="1" t="s">
        <v>35</v>
      </c>
      <c r="B25" s="1" t="s">
        <v>27</v>
      </c>
      <c r="C25" s="1" t="n">
        <v>0</v>
      </c>
      <c r="D25" s="1" t="n">
        <v>4845</v>
      </c>
      <c r="E25" s="1" t="n">
        <v>0</v>
      </c>
      <c r="F25" s="1" t="n">
        <v>128</v>
      </c>
      <c r="I25" s="5" t="n">
        <f aca="false">6.8*C25+29*D25+8.34*E25+1098*F25</f>
        <v>281049</v>
      </c>
      <c r="J25" s="5" t="n">
        <f aca="false">I25/2000</f>
        <v>140.5245</v>
      </c>
    </row>
    <row r="26" customFormat="false" ht="12.8" hidden="false" customHeight="false" outlineLevel="0" collapsed="false">
      <c r="A26" s="1" t="s">
        <v>36</v>
      </c>
      <c r="B26" s="1" t="s">
        <v>27</v>
      </c>
      <c r="C26" s="1" t="n">
        <v>0</v>
      </c>
      <c r="D26" s="1" t="n">
        <v>0</v>
      </c>
      <c r="E26" s="1" t="n">
        <v>16846</v>
      </c>
      <c r="F26" s="1" t="n">
        <v>128</v>
      </c>
      <c r="I26" s="5" t="n">
        <f aca="false">6.8*C26+29*D26+8.34*E26+1098*F26</f>
        <v>281039.64</v>
      </c>
      <c r="J26" s="5" t="n">
        <f aca="false">I26/2000</f>
        <v>140.51982</v>
      </c>
    </row>
    <row r="27" customFormat="false" ht="12.8" hidden="false" customHeight="false" outlineLevel="0" collapsed="false">
      <c r="A27" s="1" t="s">
        <v>37</v>
      </c>
      <c r="B27" s="1" t="s">
        <v>27</v>
      </c>
      <c r="C27" s="1" t="n">
        <v>10294</v>
      </c>
      <c r="D27" s="1" t="n">
        <v>2413.5</v>
      </c>
      <c r="E27" s="1" t="n">
        <v>8499</v>
      </c>
      <c r="F27" s="1" t="n">
        <v>63.5</v>
      </c>
      <c r="I27" s="5" t="n">
        <f aca="false">6.8*C27+29*D27+8.34*E27+1098*F27</f>
        <v>280595.36</v>
      </c>
      <c r="J27" s="5" t="n">
        <f aca="false">I27/2000</f>
        <v>140.29768</v>
      </c>
    </row>
    <row r="28" customFormat="false" ht="12.8" hidden="false" customHeight="false" outlineLevel="0" collapsed="false">
      <c r="A28" s="8" t="s">
        <v>38</v>
      </c>
      <c r="B28" s="8" t="s">
        <v>39</v>
      </c>
      <c r="C28" s="8" t="n">
        <v>2941</v>
      </c>
      <c r="D28" s="8" t="n">
        <v>0</v>
      </c>
      <c r="E28" s="8" t="n">
        <v>0</v>
      </c>
      <c r="F28" s="8" t="n">
        <v>0</v>
      </c>
      <c r="G28" s="8"/>
      <c r="H28" s="8"/>
      <c r="I28" s="3" t="n">
        <f aca="false">6.8*C28+29*D28+8.34*E28+1098*F28</f>
        <v>19998.8</v>
      </c>
      <c r="J28" s="3" t="n">
        <f aca="false">I28/2000</f>
        <v>9.9994</v>
      </c>
    </row>
    <row r="29" customFormat="false" ht="12.8" hidden="false" customHeight="false" outlineLevel="0" collapsed="false">
      <c r="A29" s="8" t="s">
        <v>40</v>
      </c>
      <c r="B29" s="2" t="s">
        <v>39</v>
      </c>
      <c r="C29" s="2" t="n">
        <v>0</v>
      </c>
      <c r="D29" s="2" t="n">
        <v>690</v>
      </c>
      <c r="E29" s="2" t="n">
        <v>0</v>
      </c>
      <c r="F29" s="2" t="n">
        <v>0</v>
      </c>
      <c r="G29" s="2"/>
      <c r="H29" s="2"/>
      <c r="I29" s="7" t="n">
        <f aca="false">6.8*C29+29*D29+8.34*E29+1098*F29</f>
        <v>20010</v>
      </c>
      <c r="J29" s="3" t="n">
        <f aca="false">I29/2000</f>
        <v>10.005</v>
      </c>
    </row>
    <row r="30" customFormat="false" ht="12.8" hidden="false" customHeight="false" outlineLevel="0" collapsed="false">
      <c r="A30" s="8" t="s">
        <v>41</v>
      </c>
      <c r="B30" s="2" t="s">
        <v>39</v>
      </c>
      <c r="C30" s="2" t="n">
        <v>0</v>
      </c>
      <c r="D30" s="2" t="n">
        <v>0</v>
      </c>
      <c r="E30" s="2" t="n">
        <v>2400</v>
      </c>
      <c r="F30" s="2" t="n">
        <v>0</v>
      </c>
      <c r="G30" s="2"/>
      <c r="H30" s="2"/>
      <c r="I30" s="7" t="n">
        <f aca="false">6.8*C30+29*D30+8.34*E30+1098*F30</f>
        <v>20016</v>
      </c>
      <c r="J30" s="3" t="n">
        <f aca="false">I30/2000</f>
        <v>10.008</v>
      </c>
    </row>
    <row r="31" customFormat="false" ht="12.8" hidden="false" customHeight="false" outlineLevel="0" collapsed="false">
      <c r="A31" s="8" t="s">
        <v>40</v>
      </c>
      <c r="B31" s="2" t="s">
        <v>39</v>
      </c>
      <c r="C31" s="2" t="n">
        <v>0</v>
      </c>
      <c r="D31" s="2" t="n">
        <v>0</v>
      </c>
      <c r="E31" s="2" t="n">
        <v>0</v>
      </c>
      <c r="F31" s="2" t="n">
        <v>18</v>
      </c>
      <c r="G31" s="2"/>
      <c r="H31" s="2"/>
      <c r="I31" s="7" t="n">
        <f aca="false">6.8*C31+29*D31+8.34*E31+1098*F31</f>
        <v>19764</v>
      </c>
      <c r="J31" s="3" t="n">
        <f aca="false">I31/2000</f>
        <v>9.882</v>
      </c>
    </row>
    <row r="32" customFormat="false" ht="12.8" hidden="false" customHeight="false" outlineLevel="0" collapsed="false">
      <c r="A32" s="8" t="s">
        <v>42</v>
      </c>
      <c r="B32" s="8" t="s">
        <v>39</v>
      </c>
      <c r="C32" s="8" t="n">
        <v>0</v>
      </c>
      <c r="D32" s="8" t="n">
        <v>337.5</v>
      </c>
      <c r="E32" s="8" t="n">
        <v>0</v>
      </c>
      <c r="F32" s="8" t="n">
        <v>8.7</v>
      </c>
      <c r="G32" s="8"/>
      <c r="H32" s="8"/>
      <c r="I32" s="3" t="n">
        <f aca="false">6.8*C32+29*D32+8.34*E32+1098*F32</f>
        <v>19340.1</v>
      </c>
      <c r="J32" s="3" t="n">
        <f aca="false">I32/2000</f>
        <v>9.67005</v>
      </c>
    </row>
    <row r="33" customFormat="false" ht="12.8" hidden="false" customHeight="false" outlineLevel="0" collapsed="false">
      <c r="A33" s="1" t="s">
        <v>43</v>
      </c>
      <c r="B33" s="1" t="s">
        <v>44</v>
      </c>
      <c r="C33" s="1" t="n">
        <v>58823</v>
      </c>
      <c r="D33" s="1" t="n">
        <v>0</v>
      </c>
      <c r="E33" s="1" t="n">
        <v>0</v>
      </c>
      <c r="F33" s="1" t="n">
        <v>0</v>
      </c>
      <c r="I33" s="6" t="n">
        <f aca="false">6.8*C33+29*D33+8.34*E33+1098*F33</f>
        <v>399996.4</v>
      </c>
      <c r="J33" s="6" t="n">
        <f aca="false">I33/2000</f>
        <v>199.9982</v>
      </c>
    </row>
    <row r="34" customFormat="false" ht="12.8" hidden="false" customHeight="false" outlineLevel="0" collapsed="false">
      <c r="A34" s="1" t="s">
        <v>45</v>
      </c>
      <c r="B34" s="1" t="s">
        <v>44</v>
      </c>
      <c r="C34" s="1" t="n">
        <v>0</v>
      </c>
      <c r="D34" s="1" t="n">
        <v>13790</v>
      </c>
      <c r="E34" s="1" t="n">
        <v>0</v>
      </c>
      <c r="F34" s="1" t="n">
        <v>0</v>
      </c>
      <c r="I34" s="6" t="n">
        <f aca="false">6.8*C34+29*D34+8.34*E34+1098*F34</f>
        <v>399910</v>
      </c>
      <c r="J34" s="6" t="n">
        <f aca="false">I34/2000</f>
        <v>199.955</v>
      </c>
    </row>
    <row r="35" customFormat="false" ht="12.8" hidden="false" customHeight="false" outlineLevel="0" collapsed="false">
      <c r="A35" s="1" t="s">
        <v>46</v>
      </c>
      <c r="B35" s="1" t="s">
        <v>44</v>
      </c>
      <c r="C35" s="1" t="n">
        <v>0</v>
      </c>
      <c r="D35" s="1" t="n">
        <v>0</v>
      </c>
      <c r="E35" s="1" t="n">
        <v>47950</v>
      </c>
      <c r="F35" s="1" t="n">
        <v>0</v>
      </c>
      <c r="I35" s="6" t="n">
        <f aca="false">6.8*C35+29*D35+8.34*E35+1098*F35</f>
        <v>399903</v>
      </c>
      <c r="J35" s="6" t="n">
        <f aca="false">I35/2000</f>
        <v>199.9515</v>
      </c>
    </row>
    <row r="36" customFormat="false" ht="12.8" hidden="false" customHeight="false" outlineLevel="0" collapsed="false">
      <c r="A36" s="1" t="s">
        <v>47</v>
      </c>
      <c r="B36" s="1" t="s">
        <v>44</v>
      </c>
      <c r="C36" s="1" t="n">
        <v>0</v>
      </c>
      <c r="D36" s="1" t="n">
        <v>0</v>
      </c>
      <c r="E36" s="1" t="n">
        <v>0</v>
      </c>
      <c r="F36" s="1" t="n">
        <v>364.5</v>
      </c>
      <c r="I36" s="6" t="n">
        <f aca="false">6.8*C36+29*D36+8.34*E36+1098*F36</f>
        <v>400221</v>
      </c>
      <c r="J36" s="6" t="n">
        <f aca="false">I36/2000</f>
        <v>200.1105</v>
      </c>
    </row>
    <row r="37" customFormat="false" ht="12.8" hidden="false" customHeight="false" outlineLevel="0" collapsed="false">
      <c r="A37" s="1" t="s">
        <v>48</v>
      </c>
      <c r="B37" s="1" t="s">
        <v>44</v>
      </c>
      <c r="C37" s="1" t="n">
        <v>14706</v>
      </c>
      <c r="D37" s="1" t="n">
        <v>3448.2</v>
      </c>
      <c r="E37" s="1" t="n">
        <v>11990</v>
      </c>
      <c r="F37" s="1" t="n">
        <v>90.5</v>
      </c>
      <c r="I37" s="6" t="n">
        <f aca="false">6.8*C37+29*D37+8.34*E37+1098*F37</f>
        <v>399364.2</v>
      </c>
      <c r="J37" s="6" t="n">
        <f aca="false">I37/2000</f>
        <v>199.6821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2025-08-26T13:44:59Z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