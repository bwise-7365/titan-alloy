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me\bwise\GWGL\networks-base\DCVRP\test\Data\"/>
    </mc:Choice>
  </mc:AlternateContent>
  <xr:revisionPtr revIDLastSave="0" documentId="13_ncr:1_{B4C7BD94-7466-455D-817D-132657E2CC3E}" xr6:coauthVersionLast="47" xr6:coauthVersionMax="47" xr10:uidLastSave="{00000000-0000-0000-0000-000000000000}"/>
  <bookViews>
    <workbookView xWindow="3555" yWindow="2520" windowWidth="22740" windowHeight="12315" xr2:uid="{61B721F5-C759-4DDF-B508-F4FE6F6F1CE3}"/>
  </bookViews>
  <sheets>
    <sheet name="Sheet1" sheetId="1" r:id="rId1"/>
  </sheets>
  <definedNames>
    <definedName name="factor">Sheet1!$B$15</definedName>
    <definedName name="radius">Sheet1!$B$18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1" l="1"/>
  <c r="M21" i="1"/>
  <c r="S13" i="1"/>
  <c r="R13" i="1"/>
  <c r="R17" i="1" s="1"/>
  <c r="S12" i="1"/>
  <c r="R12" i="1"/>
  <c r="S4" i="1"/>
  <c r="R4" i="1"/>
  <c r="S5" i="1" s="1"/>
  <c r="S9" i="1" s="1"/>
  <c r="S3" i="1"/>
  <c r="R3" i="1"/>
  <c r="S2" i="1"/>
  <c r="R2" i="1"/>
  <c r="Q3" i="1"/>
  <c r="Q2" i="1"/>
  <c r="N13" i="1"/>
  <c r="M13" i="1"/>
  <c r="M17" i="1" s="1"/>
  <c r="N12" i="1"/>
  <c r="M12" i="1"/>
  <c r="N4" i="1"/>
  <c r="M4" i="1"/>
  <c r="N5" i="1" s="1"/>
  <c r="N9" i="1" s="1"/>
  <c r="N3" i="1"/>
  <c r="M3" i="1"/>
  <c r="N2" i="1"/>
  <c r="M2" i="1"/>
  <c r="L3" i="1"/>
  <c r="L2" i="1"/>
  <c r="H19" i="1"/>
  <c r="H17" i="1"/>
  <c r="H16" i="1"/>
  <c r="H15" i="1"/>
  <c r="H13" i="1"/>
  <c r="I13" i="1"/>
  <c r="I12" i="1"/>
  <c r="I3" i="1"/>
  <c r="H3" i="1"/>
  <c r="G3" i="1"/>
  <c r="G2" i="1"/>
  <c r="I2" i="1"/>
  <c r="H2" i="1"/>
  <c r="H12" i="1"/>
  <c r="B15" i="1"/>
  <c r="I4" i="1"/>
  <c r="H4" i="1"/>
  <c r="I5" i="1" s="1"/>
  <c r="I9" i="1" s="1"/>
  <c r="R15" i="1" l="1"/>
  <c r="R16" i="1"/>
  <c r="M15" i="1"/>
  <c r="M16" i="1"/>
  <c r="R19" i="1" l="1"/>
  <c r="R21" i="1" s="1"/>
  <c r="M19" i="1"/>
</calcChain>
</file>

<file path=xl/sharedStrings.xml><?xml version="1.0" encoding="utf-8"?>
<sst xmlns="http://schemas.openxmlformats.org/spreadsheetml/2006/main" count="34" uniqueCount="18">
  <si>
    <t>St Vincent</t>
  </si>
  <si>
    <t>San Juan</t>
  </si>
  <si>
    <t>Great circle distance</t>
  </si>
  <si>
    <t>kilometer / degree</t>
  </si>
  <si>
    <t>radius</t>
  </si>
  <si>
    <t>HAV</t>
  </si>
  <si>
    <t>SVD</t>
  </si>
  <si>
    <t>SJU</t>
  </si>
  <si>
    <t>dX</t>
  </si>
  <si>
    <t>dY</t>
  </si>
  <si>
    <t>dZ</t>
  </si>
  <si>
    <t>dS</t>
  </si>
  <si>
    <t>Havana</t>
  </si>
  <si>
    <t>factor, pi/180</t>
  </si>
  <si>
    <t>Lat, degrees</t>
  </si>
  <si>
    <t>Long, degrees</t>
  </si>
  <si>
    <t>phi, rad</t>
  </si>
  <si>
    <t>lambda, rad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</si>
</sst>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C00000"/>
      <name val="Aptos Narrow"/>
      <family val="2"/>
      <scheme val="minor"/>
    </font>
    <font>
      <b/>
      <sz val="11"/>
      <color theme="4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164" fontId="1" fillId="0" borderId="0" xfId="0" applyNumberFormat="1" applyFont="1"/>
    <xf numFmtId="0" fontId="3" fillId="0" borderId="0" xfId="0" applyFont="1"/>
    <xf numFmtId="164" fontId="3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36337-9AB8-489F-8694-45015199490F}">
  <dimension ref="A1:S21"/>
  <sheetViews>
    <sheetView tabSelected="1" workbookViewId="0">
      <selection activeCell="R21" sqref="R21"/>
    </sheetView>
  </sheetViews>
  <sheetFormatPr defaultRowHeight="15" x14ac:dyDescent="0.25"/>
  <cols>
    <col min="2" max="2" width="14" customWidth="1"/>
    <col min="3" max="4" width="12.28515625" customWidth="1"/>
    <col min="7" max="7" width="10.5703125" customWidth="1"/>
    <col min="8" max="8" width="10.5703125" bestFit="1" customWidth="1"/>
    <col min="9" max="9" width="12.85546875" customWidth="1"/>
    <col min="13" max="13" width="10.5703125" bestFit="1" customWidth="1"/>
    <col min="14" max="14" width="12.7109375" customWidth="1"/>
    <col min="18" max="18" width="12.42578125" customWidth="1"/>
    <col min="19" max="19" width="12.7109375" customWidth="1"/>
  </cols>
  <sheetData>
    <row r="1" spans="1:19" x14ac:dyDescent="0.25">
      <c r="C1" t="s">
        <v>14</v>
      </c>
      <c r="D1" t="s">
        <v>15</v>
      </c>
    </row>
    <row r="2" spans="1:19" x14ac:dyDescent="0.25">
      <c r="A2" s="1" t="s">
        <v>5</v>
      </c>
      <c r="B2" s="1" t="s">
        <v>12</v>
      </c>
      <c r="C2" s="5">
        <v>22.9892</v>
      </c>
      <c r="D2" s="5">
        <v>-82.409099999999995</v>
      </c>
      <c r="G2" s="7" t="str">
        <f t="shared" ref="G2:G3" si="0">B2</f>
        <v>Havana</v>
      </c>
      <c r="H2" s="7">
        <f>C2</f>
        <v>22.9892</v>
      </c>
      <c r="I2" s="7">
        <f>D2</f>
        <v>-82.409099999999995</v>
      </c>
      <c r="J2" s="1"/>
      <c r="K2" s="1"/>
      <c r="L2" s="6" t="str">
        <f>B2</f>
        <v>Havana</v>
      </c>
      <c r="M2" s="6">
        <f t="shared" ref="M2:N2" si="1">C2</f>
        <v>22.9892</v>
      </c>
      <c r="N2" s="6">
        <f t="shared" si="1"/>
        <v>-82.409099999999995</v>
      </c>
      <c r="Q2" s="6" t="str">
        <f>B3</f>
        <v>St Vincent</v>
      </c>
      <c r="R2" s="6">
        <f t="shared" ref="R2:S3" si="2">C3</f>
        <v>13.1564</v>
      </c>
      <c r="S2" s="6">
        <f t="shared" si="2"/>
        <v>-61.149900000000002</v>
      </c>
    </row>
    <row r="3" spans="1:19" x14ac:dyDescent="0.25">
      <c r="A3" s="1" t="s">
        <v>6</v>
      </c>
      <c r="B3" s="1" t="s">
        <v>0</v>
      </c>
      <c r="C3" s="5">
        <v>13.1564</v>
      </c>
      <c r="D3" s="5">
        <v>-61.149900000000002</v>
      </c>
      <c r="G3" s="7" t="str">
        <f t="shared" si="0"/>
        <v>St Vincent</v>
      </c>
      <c r="H3" s="7">
        <f t="shared" ref="H3:I3" si="3">C3</f>
        <v>13.1564</v>
      </c>
      <c r="I3" s="7">
        <f t="shared" si="3"/>
        <v>-61.149900000000002</v>
      </c>
      <c r="J3" s="1"/>
      <c r="K3" s="1"/>
      <c r="L3" s="6" t="str">
        <f>B4</f>
        <v>San Juan</v>
      </c>
      <c r="M3" s="6">
        <f t="shared" ref="M3:N3" si="4">C4</f>
        <v>18.437000000000001</v>
      </c>
      <c r="N3" s="6">
        <f t="shared" si="4"/>
        <v>-66.001199999999997</v>
      </c>
      <c r="Q3" s="6" t="str">
        <f>B4</f>
        <v>San Juan</v>
      </c>
      <c r="R3" s="6">
        <f t="shared" si="2"/>
        <v>18.437000000000001</v>
      </c>
      <c r="S3" s="6">
        <f t="shared" si="2"/>
        <v>-66.001199999999997</v>
      </c>
    </row>
    <row r="4" spans="1:19" x14ac:dyDescent="0.25">
      <c r="A4" s="1" t="s">
        <v>7</v>
      </c>
      <c r="B4" s="1" t="s">
        <v>1</v>
      </c>
      <c r="C4" s="5">
        <v>18.437000000000001</v>
      </c>
      <c r="D4" s="5">
        <v>-66.001199999999997</v>
      </c>
      <c r="H4">
        <f>(H2-H3)</f>
        <v>9.8328000000000007</v>
      </c>
      <c r="I4">
        <f>(I2-I3)</f>
        <v>-21.259199999999993</v>
      </c>
      <c r="M4">
        <f>(M2-M3)</f>
        <v>4.5521999999999991</v>
      </c>
      <c r="N4">
        <f>(N2-N3)</f>
        <v>-16.407899999999998</v>
      </c>
      <c r="R4">
        <f>(R2-R3)</f>
        <v>-5.2806000000000015</v>
      </c>
      <c r="S4">
        <f>(S2-S3)</f>
        <v>4.8512999999999948</v>
      </c>
    </row>
    <row r="5" spans="1:19" x14ac:dyDescent="0.25">
      <c r="I5">
        <f>SQRT((H4*H4)+(I4*I4))</f>
        <v>23.423013052978465</v>
      </c>
      <c r="N5">
        <f>SQRT((M4*M4)+(N4*N4))</f>
        <v>17.027674745836553</v>
      </c>
      <c r="S5">
        <f>SQRT((R4*R4)+(S4*S4))</f>
        <v>7.1707634217006468</v>
      </c>
    </row>
    <row r="7" spans="1:19" x14ac:dyDescent="0.25">
      <c r="F7" s="2"/>
      <c r="G7" s="3" t="s">
        <v>2</v>
      </c>
      <c r="H7" s="3"/>
      <c r="I7" s="1">
        <v>2490</v>
      </c>
      <c r="J7" s="1"/>
      <c r="L7" s="3" t="s">
        <v>2</v>
      </c>
      <c r="M7" s="3"/>
      <c r="N7" s="1">
        <v>1780</v>
      </c>
      <c r="Q7" s="3" t="s">
        <v>2</v>
      </c>
      <c r="R7" s="3"/>
      <c r="S7" s="1">
        <v>779</v>
      </c>
    </row>
    <row r="9" spans="1:19" x14ac:dyDescent="0.25">
      <c r="F9" s="2"/>
      <c r="G9" s="3" t="s">
        <v>3</v>
      </c>
      <c r="H9" s="3"/>
      <c r="I9">
        <f>I7/I5</f>
        <v>106.3057085938554</v>
      </c>
      <c r="L9" s="3" t="s">
        <v>3</v>
      </c>
      <c r="M9" s="3"/>
      <c r="N9">
        <f>N7/N5</f>
        <v>104.53570593572847</v>
      </c>
      <c r="Q9" s="3" t="s">
        <v>3</v>
      </c>
      <c r="R9" s="3"/>
      <c r="S9">
        <f>S7/S5</f>
        <v>108.63557395333079</v>
      </c>
    </row>
    <row r="11" spans="1:19" x14ac:dyDescent="0.25">
      <c r="H11" t="s">
        <v>16</v>
      </c>
      <c r="I11" t="s">
        <v>17</v>
      </c>
      <c r="M11" t="s">
        <v>16</v>
      </c>
      <c r="N11" t="s">
        <v>17</v>
      </c>
      <c r="R11" t="s">
        <v>16</v>
      </c>
      <c r="S11" t="s">
        <v>17</v>
      </c>
    </row>
    <row r="12" spans="1:19" x14ac:dyDescent="0.25">
      <c r="H12">
        <f>H2*factor</f>
        <v>0.40123723239948039</v>
      </c>
      <c r="I12">
        <f>I2*factor</f>
        <v>-1.4383101286052589</v>
      </c>
      <c r="M12">
        <f>M2*factor</f>
        <v>0.40123723239948039</v>
      </c>
      <c r="N12">
        <f>N2*factor</f>
        <v>-1.4383101286052589</v>
      </c>
      <c r="R12">
        <f>R2*factor</f>
        <v>0.22962249770938198</v>
      </c>
      <c r="S12">
        <f>S2*factor</f>
        <v>-1.0672670922652805</v>
      </c>
    </row>
    <row r="13" spans="1:19" x14ac:dyDescent="0.25">
      <c r="H13">
        <f>H3*factor</f>
        <v>0.22962249770938198</v>
      </c>
      <c r="I13">
        <f>I3*factor</f>
        <v>-1.0672670922652805</v>
      </c>
      <c r="M13">
        <f>M3*factor</f>
        <v>0.32178635419019458</v>
      </c>
      <c r="N13">
        <f>N3*factor</f>
        <v>-1.1519382502672815</v>
      </c>
      <c r="R13">
        <f>R3*factor</f>
        <v>0.32178635419019458</v>
      </c>
      <c r="S13">
        <f>S3*factor</f>
        <v>-1.1519382502672815</v>
      </c>
    </row>
    <row r="14" spans="1:19" x14ac:dyDescent="0.25">
      <c r="B14" t="s">
        <v>13</v>
      </c>
    </row>
    <row r="15" spans="1:19" x14ac:dyDescent="0.25">
      <c r="B15">
        <f>PI()/180</f>
        <v>1.7453292519943295E-2</v>
      </c>
      <c r="G15" t="s">
        <v>8</v>
      </c>
      <c r="H15">
        <f>COS(H13)*COS(I13)-COS(H12)*COS(I12)</f>
        <v>0.34824729020637313</v>
      </c>
      <c r="L15" t="s">
        <v>8</v>
      </c>
      <c r="M15">
        <f>COS(M13)*COS(N13)-COS(M12)*COS(N12)</f>
        <v>0.26423404405945705</v>
      </c>
      <c r="Q15" t="s">
        <v>8</v>
      </c>
      <c r="R15">
        <f>COS(R13)*COS(S13)-COS(R12)*COS(S12)</f>
        <v>-8.4013246146916076E-2</v>
      </c>
    </row>
    <row r="16" spans="1:19" x14ac:dyDescent="0.25">
      <c r="G16" t="s">
        <v>9</v>
      </c>
      <c r="H16">
        <f>COS(H13)*SIN(I13)-COS(H12)*SIN(I12)</f>
        <v>5.9615826858154697E-2</v>
      </c>
      <c r="L16" t="s">
        <v>9</v>
      </c>
      <c r="M16">
        <f>COS(M13)*SIN(N13)-COS(M12)*SIN(N12)</f>
        <v>4.5847973106879714E-2</v>
      </c>
      <c r="Q16" t="s">
        <v>9</v>
      </c>
      <c r="R16">
        <f>COS(R13)*SIN(S13)-COS(R12)*SIN(S12)</f>
        <v>-1.3767853751274983E-2</v>
      </c>
    </row>
    <row r="17" spans="2:18" x14ac:dyDescent="0.25">
      <c r="B17" t="s">
        <v>4</v>
      </c>
      <c r="G17" t="s">
        <v>10</v>
      </c>
      <c r="H17">
        <f>SIN(H13)-SIN(H12)</f>
        <v>-0.16294766446654005</v>
      </c>
      <c r="L17" t="s">
        <v>10</v>
      </c>
      <c r="M17">
        <f>SIN(M13)-SIN(M12)</f>
        <v>-7.4295881991333523E-2</v>
      </c>
      <c r="Q17" t="s">
        <v>10</v>
      </c>
      <c r="R17">
        <f>SIN(R13)-SIN(R12)</f>
        <v>8.8651782475206525E-2</v>
      </c>
    </row>
    <row r="18" spans="2:18" x14ac:dyDescent="0.25">
      <c r="B18" s="4">
        <v>6371000.79</v>
      </c>
    </row>
    <row r="19" spans="2:18" x14ac:dyDescent="0.25">
      <c r="G19" t="s">
        <v>11</v>
      </c>
      <c r="H19">
        <f>SQRT((H15*H15)+(H16*H16)+(H17*H17))</f>
        <v>0.38907860812843909</v>
      </c>
      <c r="L19" t="s">
        <v>11</v>
      </c>
      <c r="M19">
        <f>SQRT((M15*M15)+(M16*M16)+(M17*M17))</f>
        <v>0.2782832096244659</v>
      </c>
      <c r="Q19" t="s">
        <v>11</v>
      </c>
      <c r="R19">
        <f>SQRT((R15*R15)+(R16*R16)+(R17*R17))</f>
        <v>0.12291020242880629</v>
      </c>
    </row>
    <row r="21" spans="2:18" x14ac:dyDescent="0.25">
      <c r="H21" s="8">
        <f>radius*H19</f>
        <v>2478820.1197583857</v>
      </c>
      <c r="M21" s="8">
        <f>radius*M19</f>
        <v>1772942.5483612078</v>
      </c>
      <c r="R21" s="8">
        <f>radius*R19</f>
        <v>783060.99677298486</v>
      </c>
    </row>
  </sheetData>
  <mergeCells count="6">
    <mergeCell ref="Q7:R7"/>
    <mergeCell ref="Q9:R9"/>
    <mergeCell ref="G7:H7"/>
    <mergeCell ref="G9:H9"/>
    <mergeCell ref="L7:M7"/>
    <mergeCell ref="L9:M9"/>
  </mergeCells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factor</vt:lpstr>
      <vt:lpstr>radius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Wise</dc:creator>
  <cp:lastModifiedBy>Ben Wise</cp:lastModifiedBy>
  <dcterms:created xsi:type="dcterms:W3CDTF">2026-02-11T21:02:41Z</dcterms:created>
  <dcterms:modified xsi:type="dcterms:W3CDTF">2026-02-11T22:21:42Z</dcterms:modified>
</cp:coreProperties>
</file>